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Overview" sheetId="2" r:id="rId6"/>
    <sheet state="visible" name="1 - Curtailment Loss" sheetId="3" r:id="rId7"/>
    <sheet state="visible" name="2 - Battery Arbitrage" sheetId="4" r:id="rId8"/>
    <sheet state="visible" name="3 - Panel-Battery Ratio" sheetId="5" r:id="rId9"/>
    <sheet state="visible" name="4 - Grid Services Revenue" sheetId="6" r:id="rId10"/>
    <sheet state="visible" name="5 - Physics Constraints" sheetId="7" r:id="rId11"/>
    <sheet state="visible" name="6 - Combined Model &amp; IRR" sheetId="8" r:id="rId12"/>
  </sheets>
  <definedNames/>
  <calcPr/>
</workbook>
</file>

<file path=xl/sharedStrings.xml><?xml version="1.0" encoding="utf-8"?>
<sst xmlns="http://schemas.openxmlformats.org/spreadsheetml/2006/main" count="361" uniqueCount="328">
  <si>
    <t>2.3b The Duck Curve Arbitrage: Financial Model</t>
  </si>
  <si>
    <t>Reassigned Scope: Economics</t>
  </si>
  <si>
    <t>1. BASELINE ASSUMPTIONS (2024)</t>
  </si>
  <si>
    <t>Parameter</t>
  </si>
  <si>
    <t>Value</t>
  </si>
  <si>
    <t>Unit</t>
  </si>
  <si>
    <t>Source</t>
  </si>
  <si>
    <t>Midday Grid Price (Oversupply)</t>
  </si>
  <si>
    <t>$/MWh</t>
  </si>
  <si>
    <t>CAISO</t>
  </si>
  <si>
    <t>Evening Peak Price (Discharge)</t>
  </si>
  <si>
    <t>Solar Hardware CapEx</t>
  </si>
  <si>
    <t>$/Wdc</t>
  </si>
  <si>
    <t>LBNL/NREL</t>
  </si>
  <si>
    <t>Base Battery Capacity</t>
  </si>
  <si>
    <t>MW</t>
  </si>
  <si>
    <t>Battery Duration</t>
  </si>
  <si>
    <t>Hours</t>
  </si>
  <si>
    <t>Total Battery Storage (MWh)</t>
  </si>
  <si>
    <t>MWh</t>
  </si>
  <si>
    <t>Peak Solar Generation Window</t>
  </si>
  <si>
    <t>2. CAPACITY RATIO SCENARIO ANALYSIS</t>
  </si>
  <si>
    <t>Metric</t>
  </si>
  <si>
    <t>Optimal (1:1)</t>
  </si>
  <si>
    <t>Overbuilt (2:1)</t>
  </si>
  <si>
    <t>Destructive (3:1)</t>
  </si>
  <si>
    <t>Formula Logic</t>
  </si>
  <si>
    <t>Solar Capacity (MW)</t>
  </si>
  <si>
    <t>Input</t>
  </si>
  <si>
    <t>Battery Capacity (MW)</t>
  </si>
  <si>
    <t>Total Solar CapEx ($)</t>
  </si>
  <si>
    <t>3. DAILY OPERATIONAL REVENUE</t>
  </si>
  <si>
    <t>Battery Discharge Volume (MWh)</t>
  </si>
  <si>
    <t>Gross Evening Revenue ($)</t>
  </si>
  <si>
    <t>4. MIDDAY OVERSUPPLY PENALTY</t>
  </si>
  <si>
    <t>Excess Solar Generation (MW/hr)</t>
  </si>
  <si>
    <t>Total Daily Curtailed (MWh)</t>
  </si>
  <si>
    <t>Grid Export Penalty ($)</t>
  </si>
  <si>
    <t>5. DAILY &amp; ANNUAL ECONOMICS</t>
  </si>
  <si>
    <t>Net Daily Arbitrage Profit ($)</t>
  </si>
  <si>
    <t>Implied Annual Arbitrage ($)</t>
  </si>
  <si>
    <t>Annual CapEx Efficiency (Return on Solar)</t>
  </si>
  <si>
    <t>2.3b — The Duck Curve Arbitrage (Dylan Mong, CFO)</t>
  </si>
  <si>
    <t>Catalyst Outlook 2026  |  California Energy Market Analysis</t>
  </si>
  <si>
    <t>Section</t>
  </si>
  <si>
    <t>Tab</t>
  </si>
  <si>
    <t>Key Question</t>
  </si>
  <si>
    <t>Key Output</t>
  </si>
  <si>
    <t>1</t>
  </si>
  <si>
    <t>Curtailment Loss</t>
  </si>
  <si>
    <t>How much revenue do utilities lose to midday solar curtailment?</t>
  </si>
  <si>
    <t>~$200-600M/yr lost in CA</t>
  </si>
  <si>
    <t>2</t>
  </si>
  <si>
    <t>Battery Arbitrage</t>
  </si>
  <si>
    <t>What is the buy-low/sell-high value of discharging at 7 PM peak?</t>
  </si>
  <si>
    <t>~$120-180/MWh spread</t>
  </si>
  <si>
    <t>3</t>
  </si>
  <si>
    <t>Panel:Battery Ratio</t>
  </si>
  <si>
    <t>Why do 2:1 and 3:1 ratios destroy returns?</t>
  </si>
  <si>
    <t>Optimal ratio ≈ 1.2–1.5 : 1</t>
  </si>
  <si>
    <t>4</t>
  </si>
  <si>
    <t>Grid Services Rev</t>
  </si>
  <si>
    <t>What revenue comes from frequency reg &amp; capacity markets?</t>
  </si>
  <si>
    <t>$8–22/MWh ancillary stack</t>
  </si>
  <si>
    <t>5</t>
  </si>
  <si>
    <t>Physics Constraints</t>
  </si>
  <si>
    <t>What ramp-rate &amp; stability limits apply (Marlon's inputs)?</t>
  </si>
  <si>
    <t>5 GW/hr ramp, 2–3 s inertia</t>
  </si>
  <si>
    <t>6</t>
  </si>
  <si>
    <t>Combined Model</t>
  </si>
  <si>
    <t>Full stacked IRR across all revenue streams</t>
  </si>
  <si>
    <t>IRR 12–18% at optimal ratio</t>
  </si>
  <si>
    <t>KEY ASSUMPTIONS (from Marlon's Physics Research)</t>
  </si>
  <si>
    <t>Assumption</t>
  </si>
  <si>
    <t>California midday curtailment</t>
  </si>
  <si>
    <t>&gt;3 TWh/yr</t>
  </si>
  <si>
    <t>Marlon's research</t>
  </si>
  <si>
    <t>Evening ramp required (CAISO)</t>
  </si>
  <si>
    <t>15 GW in 3 hours</t>
  </si>
  <si>
    <t>Duck Curve section</t>
  </si>
  <si>
    <t>Battery ramp rate</t>
  </si>
  <si>
    <t>Instantaneous</t>
  </si>
  <si>
    <t>vs gas 20-50 MW/min</t>
  </si>
  <si>
    <t>System integration cost</t>
  </si>
  <si>
    <t>$5–20/MWh</t>
  </si>
  <si>
    <t>Inverter replacement cycle (hot CA)</t>
  </si>
  <si>
    <t>7–10 years</t>
  </si>
  <si>
    <t>Thermal stress section</t>
  </si>
  <si>
    <t>Grid inertia — high solar scenario</t>
  </si>
  <si>
    <t>2–3 seconds</t>
  </si>
  <si>
    <t>vs historical 5–6 s</t>
  </si>
  <si>
    <t>Curtailment risk at &gt;40% penetration</t>
  </si>
  <si>
    <t>10–20% of gen</t>
  </si>
  <si>
    <t>Stability limits section</t>
  </si>
  <si>
    <t>Section 1 — Curtailment Revenue Loss (Midday Solar Oversupply)</t>
  </si>
  <si>
    <t>California ISO — Annual Curtailment vs. Forgone Revenue</t>
  </si>
  <si>
    <t>Hour</t>
  </si>
  <si>
    <t>Net Load (GW)</t>
  </si>
  <si>
    <t>Price ($/MWh)</t>
  </si>
  <si>
    <t>Solar Gen (GW)</t>
  </si>
  <si>
    <t>Curtailed (GW)</t>
  </si>
  <si>
    <t>Curtail Loss $M</t>
  </si>
  <si>
    <t>Notes</t>
  </si>
  <si>
    <t>Overnight flat load</t>
  </si>
  <si>
    <t>Pre-dawn low</t>
  </si>
  <si>
    <t>Sunrise</t>
  </si>
  <si>
    <t>Morning ramp</t>
  </si>
  <si>
    <t>Curtailment begins</t>
  </si>
  <si>
    <t>Peak curtailment</t>
  </si>
  <si>
    <t>Duck belly — max curtail</t>
  </si>
  <si>
    <t>Afternoon decline</t>
  </si>
  <si>
    <t>Evening ramp begins</t>
  </si>
  <si>
    <t>7 PM peak demand</t>
  </si>
  <si>
    <t>Peak price hour</t>
  </si>
  <si>
    <t>Late evening</t>
  </si>
  <si>
    <t>ANNUAL CURTAILMENT SUMMARY</t>
  </si>
  <si>
    <t>Total curtailment per representative day</t>
  </si>
  <si>
    <t>~41 GWh</t>
  </si>
  <si>
    <t>Hours 9-15</t>
  </si>
  <si>
    <t>California annual curtailment (actual)</t>
  </si>
  <si>
    <t>&gt;3,000 GWh</t>
  </si>
  <si>
    <t>Marlon's research / CAISO data</t>
  </si>
  <si>
    <t>Average forgone price (opp. cost)</t>
  </si>
  <si>
    <t>$25/MWh</t>
  </si>
  <si>
    <t>Next marginal unit cost</t>
  </si>
  <si>
    <t>Revenue lost — low estimate (3 TWh × $25)</t>
  </si>
  <si>
    <t>$75M/yr</t>
  </si>
  <si>
    <t>Revenue lost — mid estimate (3 TWh × $60)</t>
  </si>
  <si>
    <t>$180M/yr</t>
  </si>
  <si>
    <t>If sold into DA market</t>
  </si>
  <si>
    <t>Revenue lost — high estimate (4 TWh × $80)</t>
  </si>
  <si>
    <t>$320M/yr</t>
  </si>
  <si>
    <t>Peak year curtailment</t>
  </si>
  <si>
    <t>Battery capture potential (85% round-trip)</t>
  </si>
  <si>
    <t>$64–272M/yr</t>
  </si>
  <si>
    <t>85% efficiency applied</t>
  </si>
  <si>
    <t>Section 2 — Battery Arbitrage: Buy Midday, Sell 7 PM Peak</t>
  </si>
  <si>
    <t>Price spread arbitrage + Marlon's ramp rate physics constraint</t>
  </si>
  <si>
    <t>Scenario</t>
  </si>
  <si>
    <t>Buy Price ($/MWh)</t>
  </si>
  <si>
    <t>Sell Price ($/MWh)</t>
  </si>
  <si>
    <t>Gross Spread</t>
  </si>
  <si>
    <t>RT Efficiency</t>
  </si>
  <si>
    <t>Net Spread</t>
  </si>
  <si>
    <t>Battery Size (MWh)</t>
  </si>
  <si>
    <t>Daily Revenue</t>
  </si>
  <si>
    <t>Annual Revenue</t>
  </si>
  <si>
    <t>Conservative</t>
  </si>
  <si>
    <t>Low spread day</t>
  </si>
  <si>
    <t>Base Case</t>
  </si>
  <si>
    <t>Typical CA duck curve</t>
  </si>
  <si>
    <t>High Spread</t>
  </si>
  <si>
    <t>Extreme duck curve day</t>
  </si>
  <si>
    <t>Negative Price</t>
  </si>
  <si>
    <t>Negative price capture</t>
  </si>
  <si>
    <t>7 PM Peak Spike</t>
  </si>
  <si>
    <t>Heatwave event</t>
  </si>
  <si>
    <t>MARLON'S PHYSICS CONSTRAINTS ON BATTERY ARBITRAGE</t>
  </si>
  <si>
    <t>Physics Factor</t>
  </si>
  <si>
    <t>Investment Impact</t>
  </si>
  <si>
    <t>Evening ramp requirement</t>
  </si>
  <si>
    <t>5 GW/hr (~15 GW over 3 hrs)</t>
  </si>
  <si>
    <t>Limits how much a battery can hold back for peak</t>
  </si>
  <si>
    <t>Instantaneous (MW-scale)</t>
  </si>
  <si>
    <t>Battery can respond in &lt;100ms vs gas 20-50 MW/min</t>
  </si>
  <si>
    <t>Round-trip efficiency</t>
  </si>
  <si>
    <t>85–92%</t>
  </si>
  <si>
    <t>Li-ion; reduces effective spread</t>
  </si>
  <si>
    <t>Discharge duration</t>
  </si>
  <si>
    <t>2–4 hours typical</t>
  </si>
  <si>
    <t>Limits total arbitrage capture per cycle</t>
  </si>
  <si>
    <t>Cycle degradation</t>
  </si>
  <si>
    <t>~3,000–5,000 full cycles</t>
  </si>
  <si>
    <t>Reduces battery lifetime if cycled daily</t>
  </si>
  <si>
    <t>Grid inertia contribution</t>
  </si>
  <si>
    <t>Synthetic inertia via control</t>
  </si>
  <si>
    <t>Adds grid stability revenue on top of arbitrage</t>
  </si>
  <si>
    <t>State of charge constraint</t>
  </si>
  <si>
    <t>Min 10% / Max 90% usable</t>
  </si>
  <si>
    <t>Operational safety buffer</t>
  </si>
  <si>
    <t>Section 3 — Panel:Battery Ratio Analysis  |  Why 2:1 and 3:1 Ratios Destroy Returns</t>
  </si>
  <si>
    <t>Optimal ratio ≈ 1.2–1.5 : 1  |  At 2:1+ the battery cannot absorb curtailed energy → returns collapse</t>
  </si>
  <si>
    <t>Panel:Battery
Ratio</t>
  </si>
  <si>
    <t>Solar CAPEX
($M/MW)</t>
  </si>
  <si>
    <t>Battery CAPEX
($M/MWh)</t>
  </si>
  <si>
    <t>Total CAPEX
($M)</t>
  </si>
  <si>
    <t>Annual Solar
Gen (MWh)</t>
  </si>
  <si>
    <t>Curtailed
(MWh)</t>
  </si>
  <si>
    <t>Battery
Capture (MWh)</t>
  </si>
  <si>
    <t>Arbitrage
Revenue ($M)</t>
  </si>
  <si>
    <t>Grid Svcs
Revenue ($M)</t>
  </si>
  <si>
    <t>Total Revenue
($M)</t>
  </si>
  <si>
    <t>Simple
IRR (%)</t>
  </si>
  <si>
    <t>0.5 : 1</t>
  </si>
  <si>
    <t>0.8 : 1</t>
  </si>
  <si>
    <t>1.0 : 1</t>
  </si>
  <si>
    <t>1.2 : 1</t>
  </si>
  <si>
    <t>1.5 : 1</t>
  </si>
  <si>
    <t>2.0 : 1</t>
  </si>
  <si>
    <t>2.5 : 1</t>
  </si>
  <si>
    <t>3.0 : 1</t>
  </si>
  <si>
    <t>4.0 : 1</t>
  </si>
  <si>
    <t>5.0 : 1</t>
  </si>
  <si>
    <t>GREEN = Optimal zone (1.0–1.6 : 1)</t>
  </si>
  <si>
    <t>RED   = Return-destroying zone (≥2 : 1)</t>
  </si>
  <si>
    <t>WHY 2:1 AND 3:1 RATIOS DESTROY RETURNS — PHYSICS + ECONOMICS EXPLANATION</t>
  </si>
  <si>
    <t>Battery undersizing</t>
  </si>
  <si>
    <t>At 2:1 (100 MW solar / 50 MWh battery), the battery fills up mid-morning and cannot absorb afternoon curtailment. You capture only ~30% of available curtailed energy vs. 85%+ at 1.2:1.</t>
  </si>
  <si>
    <t>IRR math</t>
  </si>
  <si>
    <t>Adding more panels at fixed battery size does NOT increase capture — it just increases curtailment and CAPEX. Each additional MW of panel at 3:1 adds $1M CAPEX but &lt;$20K incremental revenue → IRR collapses.</t>
  </si>
  <si>
    <t>Ramp rate mismatch (Marlon's physics)</t>
  </si>
  <si>
    <t>Battery must absorb solar ramp AND discharge at 7 PM peak. At 3:1, the battery cycles 2–3x/day, rapidly degrading cycle life. Effective lifetime falls from 10 yrs to 5–6 yrs, destroying NPV.</t>
  </si>
  <si>
    <t>Grid stability economics</t>
  </si>
  <si>
    <t>Frequency regulation revenue requires the battery to keep reserve capacity. Oversized solar forces the battery to be fully charged (curtailment), eliminating frequency regulation headroom.</t>
  </si>
  <si>
    <t>Section 4 — Grid Stability Services Revenue (Frequency Regulation + Capacity Markets)</t>
  </si>
  <si>
    <t>Revenue Stream</t>
  </si>
  <si>
    <t>Market</t>
  </si>
  <si>
    <t>Price ($/MW-yr or /MWh)</t>
  </si>
  <si>
    <t>Availability (%)</t>
  </si>
  <si>
    <t>Annual Revenue ($M)</t>
  </si>
  <si>
    <t>Frequency Regulation (Reg-D)</t>
  </si>
  <si>
    <t>Fast response; CAISO pays $/MW-hr of capability</t>
  </si>
  <si>
    <t>Spinning Reserve</t>
  </si>
  <si>
    <t>Must respond in &lt;10 min; battery ideal</t>
  </si>
  <si>
    <t>Non-Spinning Reserve</t>
  </si>
  <si>
    <t>30-min response; lower price</t>
  </si>
  <si>
    <t>Resource Adequacy (RA) Capacity</t>
  </si>
  <si>
    <t>$/MW-yr capacity payment; very stable revenue</t>
  </si>
  <si>
    <t>Voltage/Reactive Support</t>
  </si>
  <si>
    <t>Addresses Marlon's reactive power gap from solar</t>
  </si>
  <si>
    <t>Synthetic Inertia</t>
  </si>
  <si>
    <t>Grid-forming inverter; solves Marlon's inertia loss (2-3s)</t>
  </si>
  <si>
    <t>TOTAL GRID SERVICES REVENUE</t>
  </si>
  <si>
    <t>Section 5 — Marlon's Physics Inputs: Grid Stability &amp; Ramp Rate Constraints</t>
  </si>
  <si>
    <t>INVERTER THERMAL LIMITS</t>
  </si>
  <si>
    <t>vs 15–20 yr in cooler climates</t>
  </si>
  <si>
    <t>Replacement CAPEX</t>
  </si>
  <si>
    <t>~10% plant cost</t>
  </si>
  <si>
    <t>Every 7-10 years; budget in DCF</t>
  </si>
  <si>
    <t>Junction temp limit (IGBT)</t>
  </si>
  <si>
    <t>150°C max</t>
  </si>
  <si>
    <t>Phoenix ambient 43-49°C eats thermal margin</t>
  </si>
  <si>
    <t>Arrhenius degradation rate</t>
  </si>
  <si>
    <t>2x per +10°C</t>
  </si>
  <si>
    <t>Every 10°C rise halves component life</t>
  </si>
  <si>
    <t>SYSTEM INERTIA (Low-Inertia Risk)</t>
  </si>
  <si>
    <t>CA historical inertia</t>
  </si>
  <si>
    <t>5–6 seconds</t>
  </si>
  <si>
    <t>With conventional generation fleet</t>
  </si>
  <si>
    <t>CA high-solar scenario inertia</t>
  </si>
  <si>
    <t>At &gt;40% solar penetration</t>
  </si>
  <si>
    <t>Frequency collapse risk</t>
  </si>
  <si>
    <t>&gt;70% penetration</t>
  </si>
  <si>
    <t>Requires grid-forming controls</t>
  </si>
  <si>
    <t>Synthetic inertia response</t>
  </si>
  <si>
    <t>&lt;500ms</t>
  </si>
  <si>
    <t>Battery-based; limited energy buffer</t>
  </si>
  <si>
    <t>DUCK CURVE RAMP RATES</t>
  </si>
  <si>
    <t>CA evening ramp required</t>
  </si>
  <si>
    <t>~5 GW/hr</t>
  </si>
  <si>
    <t>15 GW over 3 hours (6-9 PM)</t>
  </si>
  <si>
    <t>Gas turbine ramp rate</t>
  </si>
  <si>
    <t>20–50 MW/min</t>
  </si>
  <si>
    <t>Best conventional option</t>
  </si>
  <si>
    <t>Combined cycle ramp rate</t>
  </si>
  <si>
    <t>5–10 MW/min</t>
  </si>
  <si>
    <t>Too slow for duck curve</t>
  </si>
  <si>
    <t>&lt; 100ms; fastest available</t>
  </si>
  <si>
    <t>Ramp cost premium</t>
  </si>
  <si>
    <t>CURTAILMENT PHYSICS</t>
  </si>
  <si>
    <t>CA annual curtailment</t>
  </si>
  <si>
    <t>Marlon's data; rising with penetration</t>
  </si>
  <si>
    <t>Curtailment threshold</t>
  </si>
  <si>
    <t>&gt;40% penetration</t>
  </si>
  <si>
    <t>10-20% of generation curtailed</t>
  </si>
  <si>
    <t>Transmission thermal limit</t>
  </si>
  <si>
    <t>75–100°C max</t>
  </si>
  <si>
    <t>Beyond this: sag, clearance violation</t>
  </si>
  <si>
    <t>New transmission cost</t>
  </si>
  <si>
    <t>$2–4M/mile</t>
  </si>
  <si>
    <t>Lead times &gt;10 years (permitting)</t>
  </si>
  <si>
    <t>Section 6 — Stacked Revenue Model: Full IRR at Optimal 1.25:1 Panel-to-Battery Ratio</t>
  </si>
  <si>
    <t>100 MW Solar + 80 MWh Battery  |  20-Year Project  |  California ISO</t>
  </si>
  <si>
    <t>CAPEX</t>
  </si>
  <si>
    <t>REVENUE STREAM</t>
  </si>
  <si>
    <t>Annual ($M)</t>
  </si>
  <si>
    <t>% of Total</t>
  </si>
  <si>
    <t>Solar panels (100 MW × $1M/MW)</t>
  </si>
  <si>
    <t>$100.0M</t>
  </si>
  <si>
    <t>Energy arbitrage (curtailment capture)</t>
  </si>
  <si>
    <t>$3.4M</t>
  </si>
  <si>
    <t>11%</t>
  </si>
  <si>
    <t>Battery (80 MWh × $0.35M/MWh)</t>
  </si>
  <si>
    <t>$28.0M</t>
  </si>
  <si>
    <t>Peak discharge (7 PM)</t>
  </si>
  <si>
    <t>$4.1M</t>
  </si>
  <si>
    <t>13%</t>
  </si>
  <si>
    <t>Inverters + BOS</t>
  </si>
  <si>
    <t>$12.0M</t>
  </si>
  <si>
    <t>Frequency regulation (Reg-D)</t>
  </si>
  <si>
    <t>$10.5M</t>
  </si>
  <si>
    <t>33%</t>
  </si>
  <si>
    <t>Grid interconnect</t>
  </si>
  <si>
    <t>$8.0M</t>
  </si>
  <si>
    <t>Resource Adequacy capacity payments</t>
  </si>
  <si>
    <t>$4.8M</t>
  </si>
  <si>
    <t>15%</t>
  </si>
  <si>
    <t>Soft costs / development</t>
  </si>
  <si>
    <t>$6.0M</t>
  </si>
  <si>
    <t>Spinning / non-spinning reserve</t>
  </si>
  <si>
    <t>$5.1M</t>
  </si>
  <si>
    <t>16%</t>
  </si>
  <si>
    <t>TOTAL CAPEX</t>
  </si>
  <si>
    <t>$154.0M</t>
  </si>
  <si>
    <t>Synthetic inertia</t>
  </si>
  <si>
    <t>$4.0M</t>
  </si>
  <si>
    <t>TOTAL ANNUAL REVENUE</t>
  </si>
  <si>
    <t>$31.9M</t>
  </si>
  <si>
    <t>20-YEAR IRR ANALYSIS</t>
  </si>
  <si>
    <t>Year</t>
  </si>
  <si>
    <t>Gross Rev ($M)</t>
  </si>
  <si>
    <t>OPEX ($M)</t>
  </si>
  <si>
    <t>Inverter Repl ($M)</t>
  </si>
  <si>
    <t>Net CF ($M)</t>
  </si>
  <si>
    <t>Cumulative CF ($M)</t>
  </si>
  <si>
    <t>Initial investment</t>
  </si>
  <si>
    <t>Inverter replacement</t>
  </si>
  <si>
    <t>Estimated Project IRR: ~14–16%  |  NPV (10% discount): ~$38M  |  Payback: ~9–10 years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</si>
</sst>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"/>
    <numFmt numFmtId="165" formatCode="&quot;$&quot;#,##0"/>
    <numFmt numFmtId="166" formatCode="&quot;$&quot;#,##0.00"/>
    <numFmt numFmtId="167" formatCode="&quot;$&quot;0.00"/>
    <numFmt numFmtId="168" formatCode="0.0&quot;%&quot;"/>
    <numFmt numFmtId="169" formatCode="&quot;$&quot;#,##0.0"/>
  </numFmts>
  <fonts count="24">
    <font>
      <sz val="10.0"/>
      <color rgb="FF000000"/>
      <name val="Calibri"/>
      <scheme val="minor"/>
    </font>
    <font>
      <color theme="1"/>
      <name val="Calibri"/>
      <scheme val="minor"/>
    </font>
    <font>
      <b/>
      <sz val="16.0"/>
      <color rgb="FFF4C542"/>
      <name val="Calibri"/>
      <scheme val="minor"/>
    </font>
    <font/>
    <font>
      <sz val="11.0"/>
      <color rgb="FFFFFFFF"/>
      <name val="Calibri"/>
      <scheme val="minor"/>
    </font>
    <font>
      <b/>
      <sz val="12.0"/>
      <color rgb="FFFFFFFF"/>
      <name val="Calibri"/>
      <scheme val="minor"/>
    </font>
    <font>
      <sz val="10.0"/>
      <color rgb="FF1C2833"/>
      <name val="Calibri"/>
      <scheme val="minor"/>
    </font>
    <font>
      <b/>
      <sz val="10.0"/>
      <color rgb="FF1C2833"/>
      <name val="Calibri"/>
      <scheme val="minor"/>
    </font>
    <font>
      <b/>
      <sz val="10.0"/>
      <color rgb="FF2E86AB"/>
      <name val="Calibri"/>
      <scheme val="minor"/>
    </font>
    <font>
      <sz val="11.0"/>
      <color theme="1"/>
      <name val="Calibri"/>
    </font>
    <font>
      <b/>
      <sz val="11.0"/>
      <color rgb="FFF4C542"/>
      <name val="Calibri"/>
      <scheme val="minor"/>
    </font>
    <font>
      <b/>
      <sz val="14.0"/>
      <color rgb="FFF4C542"/>
      <name val="Calibri"/>
      <scheme val="minor"/>
    </font>
    <font>
      <sz val="10.0"/>
      <color rgb="FFFFFFFF"/>
      <name val="Calibri"/>
      <scheme val="minor"/>
    </font>
    <font>
      <sz val="10.0"/>
      <color rgb="FFE74C3C"/>
      <name val="Calibri"/>
      <scheme val="minor"/>
    </font>
    <font>
      <sz val="10.0"/>
      <color rgb="FF27AE60"/>
      <name val="Calibri"/>
      <scheme val="minor"/>
    </font>
    <font>
      <b/>
      <sz val="10.0"/>
      <color rgb="FF27AE60"/>
      <name val="Calibri"/>
      <scheme val="minor"/>
    </font>
    <font>
      <b/>
      <sz val="10.0"/>
      <color rgb="FFFFFFFF"/>
      <name val="Calibri"/>
      <scheme val="minor"/>
    </font>
    <font>
      <b/>
      <sz val="11.0"/>
      <color rgb="FFE74C3C"/>
      <name val="Calibri"/>
      <scheme val="minor"/>
    </font>
    <font>
      <b/>
      <sz val="10.0"/>
      <color rgb="FFE74C3C"/>
      <name val="Calibri"/>
      <scheme val="minor"/>
    </font>
    <font>
      <b/>
      <sz val="10.0"/>
      <color rgb="FFF4C542"/>
      <name val="Calibri"/>
      <scheme val="minor"/>
    </font>
    <font>
      <b/>
      <sz val="11.0"/>
      <color rgb="FFFFFFFF"/>
      <name val="Calibri"/>
      <scheme val="minor"/>
    </font>
    <font>
      <sz val="10.0"/>
      <color rgb="FF2E86AB"/>
      <name val="Calibri"/>
      <scheme val="minor"/>
    </font>
    <font>
      <sz val="10.0"/>
      <color rgb="FFF4C542"/>
      <name val="Calibri"/>
      <scheme val="minor"/>
    </font>
    <font>
      <b/>
      <sz val="12.0"/>
      <color rgb="FFF4C542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1C2833"/>
        <bgColor rgb="FF1C2833"/>
      </patternFill>
    </fill>
    <fill>
      <patternFill patternType="solid">
        <fgColor rgb="FF2E86AB"/>
        <bgColor rgb="FF2E86AB"/>
      </patternFill>
    </fill>
    <fill>
      <patternFill patternType="solid">
        <fgColor rgb="FFF2F3F4"/>
        <bgColor rgb="FFF2F3F4"/>
      </patternFill>
    </fill>
    <fill>
      <patternFill patternType="solid">
        <fgColor rgb="FFFFFFFF"/>
        <bgColor rgb="FFFFFFFF"/>
      </patternFill>
    </fill>
    <fill>
      <patternFill patternType="solid">
        <fgColor rgb="FFD5D8DC"/>
        <bgColor rgb="FFD5D8DC"/>
      </patternFill>
    </fill>
    <fill>
      <patternFill patternType="solid">
        <fgColor rgb="FF27AE60"/>
        <bgColor rgb="FF27AE60"/>
      </patternFill>
    </fill>
    <fill>
      <patternFill patternType="solid">
        <fgColor rgb="FFE74C3C"/>
        <bgColor rgb="FFE74C3C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0" xfId="0" applyAlignment="1" applyFont="1" applyNumberFormat="1">
      <alignment readingOrder="0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1" fillId="2" fontId="4" numFmtId="0" xfId="0" applyAlignment="1" applyBorder="1" applyFont="1">
      <alignment horizontal="center" vertical="center"/>
    </xf>
    <xf borderId="4" fillId="3" fontId="5" numFmtId="0" xfId="0" applyAlignment="1" applyBorder="1" applyFill="1" applyFont="1">
      <alignment horizontal="center" vertical="center"/>
    </xf>
    <xf borderId="5" fillId="3" fontId="5" numFmtId="0" xfId="0" applyAlignment="1" applyBorder="1" applyFont="1">
      <alignment horizontal="center" vertical="center"/>
    </xf>
    <xf borderId="6" fillId="3" fontId="5" numFmtId="0" xfId="0" applyAlignment="1" applyBorder="1" applyFont="1">
      <alignment horizontal="center" vertical="center"/>
    </xf>
    <xf borderId="7" fillId="4" fontId="6" numFmtId="0" xfId="0" applyAlignment="1" applyBorder="1" applyFill="1" applyFont="1">
      <alignment horizontal="center" vertical="center"/>
    </xf>
    <xf borderId="0" fillId="4" fontId="7" numFmtId="0" xfId="0" applyAlignment="1" applyFont="1">
      <alignment horizontal="left" vertical="center"/>
    </xf>
    <xf borderId="0" fillId="4" fontId="6" numFmtId="0" xfId="0" applyAlignment="1" applyFont="1">
      <alignment horizontal="left" vertical="center"/>
    </xf>
    <xf borderId="8" fillId="4" fontId="8" numFmtId="0" xfId="0" applyAlignment="1" applyBorder="1" applyFont="1">
      <alignment horizontal="left" vertical="center"/>
    </xf>
    <xf borderId="7" fillId="5" fontId="6" numFmtId="0" xfId="0" applyAlignment="1" applyBorder="1" applyFill="1" applyFont="1">
      <alignment horizontal="center" vertical="center"/>
    </xf>
    <xf borderId="0" fillId="5" fontId="7" numFmtId="0" xfId="0" applyAlignment="1" applyFont="1">
      <alignment horizontal="left" vertical="center"/>
    </xf>
    <xf borderId="0" fillId="5" fontId="6" numFmtId="0" xfId="0" applyAlignment="1" applyFont="1">
      <alignment horizontal="left" vertical="center"/>
    </xf>
    <xf borderId="8" fillId="5" fontId="8" numFmtId="0" xfId="0" applyAlignment="1" applyBorder="1" applyFont="1">
      <alignment horizontal="left" vertical="center"/>
    </xf>
    <xf borderId="9" fillId="0" fontId="9" numFmtId="0" xfId="0" applyBorder="1" applyFont="1"/>
    <xf borderId="10" fillId="0" fontId="9" numFmtId="0" xfId="0" applyBorder="1" applyFont="1"/>
    <xf borderId="11" fillId="0" fontId="9" numFmtId="0" xfId="0" applyBorder="1" applyFont="1"/>
    <xf borderId="4" fillId="2" fontId="10" numFmtId="0" xfId="0" applyAlignment="1" applyBorder="1" applyFont="1">
      <alignment horizontal="center" vertical="center"/>
    </xf>
    <xf borderId="5" fillId="0" fontId="3" numFmtId="0" xfId="0" applyBorder="1" applyFont="1"/>
    <xf borderId="7" fillId="6" fontId="7" numFmtId="0" xfId="0" applyAlignment="1" applyBorder="1" applyFill="1" applyFont="1">
      <alignment horizontal="center" vertical="center"/>
    </xf>
    <xf borderId="0" fillId="6" fontId="7" numFmtId="0" xfId="0" applyAlignment="1" applyFont="1">
      <alignment horizontal="center" vertical="center"/>
    </xf>
    <xf borderId="8" fillId="6" fontId="7" numFmtId="0" xfId="0" applyAlignment="1" applyBorder="1" applyFont="1">
      <alignment horizontal="center" vertical="center"/>
    </xf>
    <xf borderId="7" fillId="4" fontId="6" numFmtId="0" xfId="0" applyAlignment="1" applyBorder="1" applyFont="1">
      <alignment horizontal="left" vertical="center"/>
    </xf>
    <xf borderId="0" fillId="4" fontId="8" numFmtId="0" xfId="0" applyAlignment="1" applyFont="1">
      <alignment horizontal="center" vertical="center"/>
    </xf>
    <xf borderId="8" fillId="4" fontId="6" numFmtId="0" xfId="0" applyAlignment="1" applyBorder="1" applyFont="1">
      <alignment horizontal="left" vertical="center"/>
    </xf>
    <xf borderId="7" fillId="5" fontId="6" numFmtId="0" xfId="0" applyAlignment="1" applyBorder="1" applyFont="1">
      <alignment horizontal="left" vertical="center"/>
    </xf>
    <xf borderId="0" fillId="5" fontId="8" numFmtId="0" xfId="0" applyAlignment="1" applyFont="1">
      <alignment horizontal="center" vertical="center"/>
    </xf>
    <xf borderId="8" fillId="5" fontId="6" numFmtId="0" xfId="0" applyAlignment="1" applyBorder="1" applyFont="1">
      <alignment horizontal="left" vertical="center"/>
    </xf>
    <xf borderId="1" fillId="2" fontId="11" numFmtId="0" xfId="0" applyAlignment="1" applyBorder="1" applyFont="1">
      <alignment horizontal="center" vertical="center"/>
    </xf>
    <xf borderId="1" fillId="2" fontId="12" numFmtId="0" xfId="0" applyAlignment="1" applyBorder="1" applyFont="1">
      <alignment horizontal="center" vertical="center"/>
    </xf>
    <xf borderId="12" fillId="3" fontId="5" numFmtId="0" xfId="0" applyAlignment="1" applyBorder="1" applyFont="1">
      <alignment horizontal="center" vertical="center"/>
    </xf>
    <xf borderId="12" fillId="4" fontId="6" numFmtId="0" xfId="0" applyAlignment="1" applyBorder="1" applyFont="1">
      <alignment horizontal="center" vertical="center"/>
    </xf>
    <xf borderId="12" fillId="4" fontId="6" numFmtId="164" xfId="0" applyAlignment="1" applyBorder="1" applyFont="1" applyNumberFormat="1">
      <alignment horizontal="right" vertical="center"/>
    </xf>
    <xf borderId="12" fillId="4" fontId="6" numFmtId="165" xfId="0" applyAlignment="1" applyBorder="1" applyFont="1" applyNumberFormat="1">
      <alignment horizontal="right" vertical="center"/>
    </xf>
    <xf borderId="12" fillId="4" fontId="6" numFmtId="166" xfId="0" applyAlignment="1" applyBorder="1" applyFont="1" applyNumberFormat="1">
      <alignment horizontal="right" vertical="center"/>
    </xf>
    <xf borderId="12" fillId="4" fontId="6" numFmtId="0" xfId="0" applyAlignment="1" applyBorder="1" applyFont="1">
      <alignment horizontal="left" vertical="center"/>
    </xf>
    <xf borderId="12" fillId="5" fontId="6" numFmtId="0" xfId="0" applyAlignment="1" applyBorder="1" applyFont="1">
      <alignment horizontal="center" vertical="center"/>
    </xf>
    <xf borderId="12" fillId="5" fontId="6" numFmtId="164" xfId="0" applyAlignment="1" applyBorder="1" applyFont="1" applyNumberFormat="1">
      <alignment horizontal="right" vertical="center"/>
    </xf>
    <xf borderId="12" fillId="5" fontId="6" numFmtId="165" xfId="0" applyAlignment="1" applyBorder="1" applyFont="1" applyNumberFormat="1">
      <alignment horizontal="right" vertical="center"/>
    </xf>
    <xf borderId="12" fillId="5" fontId="6" numFmtId="166" xfId="0" applyAlignment="1" applyBorder="1" applyFont="1" applyNumberFormat="1">
      <alignment horizontal="right" vertical="center"/>
    </xf>
    <xf borderId="12" fillId="5" fontId="6" numFmtId="0" xfId="0" applyAlignment="1" applyBorder="1" applyFont="1">
      <alignment horizontal="left" vertical="center"/>
    </xf>
    <xf borderId="12" fillId="5" fontId="13" numFmtId="164" xfId="0" applyAlignment="1" applyBorder="1" applyFont="1" applyNumberFormat="1">
      <alignment horizontal="right" vertical="center"/>
    </xf>
    <xf borderId="12" fillId="5" fontId="13" numFmtId="166" xfId="0" applyAlignment="1" applyBorder="1" applyFont="1" applyNumberFormat="1">
      <alignment horizontal="right" vertical="center"/>
    </xf>
    <xf borderId="12" fillId="4" fontId="13" numFmtId="165" xfId="0" applyAlignment="1" applyBorder="1" applyFont="1" applyNumberFormat="1">
      <alignment horizontal="right" vertical="center"/>
    </xf>
    <xf borderId="12" fillId="4" fontId="13" numFmtId="164" xfId="0" applyAlignment="1" applyBorder="1" applyFont="1" applyNumberFormat="1">
      <alignment horizontal="right" vertical="center"/>
    </xf>
    <xf borderId="12" fillId="4" fontId="13" numFmtId="166" xfId="0" applyAlignment="1" applyBorder="1" applyFont="1" applyNumberFormat="1">
      <alignment horizontal="right" vertical="center"/>
    </xf>
    <xf borderId="12" fillId="5" fontId="13" numFmtId="165" xfId="0" applyAlignment="1" applyBorder="1" applyFont="1" applyNumberFormat="1">
      <alignment horizontal="right" vertical="center"/>
    </xf>
    <xf borderId="12" fillId="4" fontId="14" numFmtId="165" xfId="0" applyAlignment="1" applyBorder="1" applyFont="1" applyNumberFormat="1">
      <alignment horizontal="right" vertical="center"/>
    </xf>
    <xf borderId="12" fillId="5" fontId="14" numFmtId="165" xfId="0" applyAlignment="1" applyBorder="1" applyFont="1" applyNumberFormat="1">
      <alignment horizontal="right" vertical="center"/>
    </xf>
    <xf borderId="1" fillId="2" fontId="10" numFmtId="0" xfId="0" applyAlignment="1" applyBorder="1" applyFont="1">
      <alignment horizontal="center" vertical="center"/>
    </xf>
    <xf borderId="12" fillId="6" fontId="7" numFmtId="0" xfId="0" applyAlignment="1" applyBorder="1" applyFont="1">
      <alignment horizontal="center" vertical="center"/>
    </xf>
    <xf borderId="12" fillId="4" fontId="8" numFmtId="0" xfId="0" applyAlignment="1" applyBorder="1" applyFont="1">
      <alignment horizontal="center" vertical="center"/>
    </xf>
    <xf borderId="12" fillId="5" fontId="8" numFmtId="0" xfId="0" applyAlignment="1" applyBorder="1" applyFont="1">
      <alignment horizontal="center" vertical="center"/>
    </xf>
    <xf borderId="12" fillId="4" fontId="7" numFmtId="0" xfId="0" applyAlignment="1" applyBorder="1" applyFont="1">
      <alignment horizontal="left" vertical="center"/>
    </xf>
    <xf borderId="12" fillId="4" fontId="6" numFmtId="9" xfId="0" applyAlignment="1" applyBorder="1" applyFont="1" applyNumberFormat="1">
      <alignment horizontal="right" vertical="center"/>
    </xf>
    <xf borderId="12" fillId="4" fontId="15" numFmtId="166" xfId="0" applyAlignment="1" applyBorder="1" applyFont="1" applyNumberFormat="1">
      <alignment horizontal="right" vertical="center"/>
    </xf>
    <xf borderId="12" fillId="4" fontId="6" numFmtId="3" xfId="0" applyAlignment="1" applyBorder="1" applyFont="1" applyNumberFormat="1">
      <alignment horizontal="right" vertical="center"/>
    </xf>
    <xf borderId="12" fillId="4" fontId="8" numFmtId="165" xfId="0" applyAlignment="1" applyBorder="1" applyFont="1" applyNumberFormat="1">
      <alignment horizontal="right" vertical="center"/>
    </xf>
    <xf borderId="12" fillId="5" fontId="7" numFmtId="0" xfId="0" applyAlignment="1" applyBorder="1" applyFont="1">
      <alignment horizontal="left" vertical="center"/>
    </xf>
    <xf borderId="12" fillId="5" fontId="6" numFmtId="9" xfId="0" applyAlignment="1" applyBorder="1" applyFont="1" applyNumberFormat="1">
      <alignment horizontal="right" vertical="center"/>
    </xf>
    <xf borderId="12" fillId="5" fontId="15" numFmtId="166" xfId="0" applyAlignment="1" applyBorder="1" applyFont="1" applyNumberFormat="1">
      <alignment horizontal="right" vertical="center"/>
    </xf>
    <xf borderId="12" fillId="5" fontId="6" numFmtId="3" xfId="0" applyAlignment="1" applyBorder="1" applyFont="1" applyNumberFormat="1">
      <alignment horizontal="right" vertical="center"/>
    </xf>
    <xf borderId="12" fillId="5" fontId="8" numFmtId="165" xfId="0" applyAlignment="1" applyBorder="1" applyFont="1" applyNumberFormat="1">
      <alignment horizontal="right" vertical="center"/>
    </xf>
    <xf borderId="12" fillId="4" fontId="8" numFmtId="0" xfId="0" applyAlignment="1" applyBorder="1" applyFont="1">
      <alignment horizontal="left" vertical="center"/>
    </xf>
    <xf borderId="12" fillId="5" fontId="8" numFmtId="0" xfId="0" applyAlignment="1" applyBorder="1" applyFont="1">
      <alignment horizontal="left" vertical="center"/>
    </xf>
    <xf borderId="12" fillId="3" fontId="5" numFmtId="0" xfId="0" applyAlignment="1" applyBorder="1" applyFont="1">
      <alignment horizontal="center" shrinkToFit="0" vertical="center" wrapText="1"/>
    </xf>
    <xf borderId="12" fillId="4" fontId="6" numFmtId="167" xfId="0" applyAlignment="1" applyBorder="1" applyFont="1" applyNumberFormat="1">
      <alignment horizontal="right" vertical="center"/>
    </xf>
    <xf borderId="12" fillId="4" fontId="7" numFmtId="166" xfId="0" applyAlignment="1" applyBorder="1" applyFont="1" applyNumberFormat="1">
      <alignment horizontal="right" vertical="center"/>
    </xf>
    <xf borderId="12" fillId="4" fontId="7" numFmtId="168" xfId="0" applyAlignment="1" applyBorder="1" applyFont="1" applyNumberFormat="1">
      <alignment horizontal="center" vertical="center"/>
    </xf>
    <xf borderId="12" fillId="5" fontId="6" numFmtId="167" xfId="0" applyAlignment="1" applyBorder="1" applyFont="1" applyNumberFormat="1">
      <alignment horizontal="right" vertical="center"/>
    </xf>
    <xf borderId="12" fillId="5" fontId="7" numFmtId="166" xfId="0" applyAlignment="1" applyBorder="1" applyFont="1" applyNumberFormat="1">
      <alignment horizontal="right" vertical="center"/>
    </xf>
    <xf borderId="12" fillId="5" fontId="7" numFmtId="168" xfId="0" applyAlignment="1" applyBorder="1" applyFont="1" applyNumberFormat="1">
      <alignment horizontal="center" vertical="center"/>
    </xf>
    <xf borderId="12" fillId="7" fontId="16" numFmtId="0" xfId="0" applyAlignment="1" applyBorder="1" applyFill="1" applyFont="1">
      <alignment horizontal="center" vertical="center"/>
    </xf>
    <xf borderId="12" fillId="7" fontId="12" numFmtId="167" xfId="0" applyAlignment="1" applyBorder="1" applyFont="1" applyNumberFormat="1">
      <alignment horizontal="right" vertical="center"/>
    </xf>
    <xf borderId="12" fillId="7" fontId="12" numFmtId="3" xfId="0" applyAlignment="1" applyBorder="1" applyFont="1" applyNumberFormat="1">
      <alignment horizontal="right" vertical="center"/>
    </xf>
    <xf borderId="12" fillId="7" fontId="12" numFmtId="166" xfId="0" applyAlignment="1" applyBorder="1" applyFont="1" applyNumberFormat="1">
      <alignment horizontal="right" vertical="center"/>
    </xf>
    <xf borderId="12" fillId="7" fontId="6" numFmtId="3" xfId="0" applyAlignment="1" applyBorder="1" applyFont="1" applyNumberFormat="1">
      <alignment horizontal="right" vertical="center"/>
    </xf>
    <xf borderId="12" fillId="7" fontId="16" numFmtId="166" xfId="0" applyAlignment="1" applyBorder="1" applyFont="1" applyNumberFormat="1">
      <alignment horizontal="right" vertical="center"/>
    </xf>
    <xf borderId="12" fillId="7" fontId="16" numFmtId="168" xfId="0" applyAlignment="1" applyBorder="1" applyFont="1" applyNumberFormat="1">
      <alignment horizontal="center" vertical="center"/>
    </xf>
    <xf borderId="12" fillId="8" fontId="12" numFmtId="0" xfId="0" applyAlignment="1" applyBorder="1" applyFill="1" applyFont="1">
      <alignment horizontal="center" vertical="center"/>
    </xf>
    <xf borderId="12" fillId="8" fontId="12" numFmtId="167" xfId="0" applyAlignment="1" applyBorder="1" applyFont="1" applyNumberFormat="1">
      <alignment horizontal="right" vertical="center"/>
    </xf>
    <xf borderId="12" fillId="8" fontId="12" numFmtId="3" xfId="0" applyAlignment="1" applyBorder="1" applyFont="1" applyNumberFormat="1">
      <alignment horizontal="right" vertical="center"/>
    </xf>
    <xf borderId="12" fillId="8" fontId="12" numFmtId="166" xfId="0" applyAlignment="1" applyBorder="1" applyFont="1" applyNumberFormat="1">
      <alignment horizontal="right" vertical="center"/>
    </xf>
    <xf borderId="12" fillId="8" fontId="16" numFmtId="166" xfId="0" applyAlignment="1" applyBorder="1" applyFont="1" applyNumberFormat="1">
      <alignment horizontal="right" vertical="center"/>
    </xf>
    <xf borderId="12" fillId="8" fontId="16" numFmtId="168" xfId="0" applyAlignment="1" applyBorder="1" applyFont="1" applyNumberFormat="1">
      <alignment horizontal="center" vertical="center"/>
    </xf>
    <xf borderId="1" fillId="7" fontId="16" numFmtId="0" xfId="0" applyAlignment="1" applyBorder="1" applyFont="1">
      <alignment horizontal="left" vertical="center"/>
    </xf>
    <xf borderId="1" fillId="8" fontId="16" numFmtId="0" xfId="0" applyAlignment="1" applyBorder="1" applyFont="1">
      <alignment horizontal="left" vertical="center"/>
    </xf>
    <xf borderId="1" fillId="2" fontId="17" numFmtId="0" xfId="0" applyAlignment="1" applyBorder="1" applyFont="1">
      <alignment horizontal="center" vertical="center"/>
    </xf>
    <xf borderId="1" fillId="4" fontId="18" numFmtId="0" xfId="0" applyAlignment="1" applyBorder="1" applyFont="1">
      <alignment horizontal="left" shrinkToFit="0" vertical="center" wrapText="1"/>
    </xf>
    <xf borderId="1" fillId="4" fontId="6" numFmtId="0" xfId="0" applyAlignment="1" applyBorder="1" applyFont="1">
      <alignment horizontal="left" shrinkToFit="0" vertical="center" wrapText="1"/>
    </xf>
    <xf borderId="1" fillId="5" fontId="18" numFmtId="0" xfId="0" applyAlignment="1" applyBorder="1" applyFont="1">
      <alignment horizontal="left" shrinkToFit="0" vertical="center" wrapText="1"/>
    </xf>
    <xf borderId="1" fillId="5" fontId="6" numFmtId="0" xfId="0" applyAlignment="1" applyBorder="1" applyFont="1">
      <alignment horizontal="left" shrinkToFit="0" vertical="center" wrapText="1"/>
    </xf>
    <xf borderId="12" fillId="2" fontId="19" numFmtId="0" xfId="0" applyAlignment="1" applyBorder="1" applyFont="1">
      <alignment horizontal="left" vertical="center"/>
    </xf>
    <xf borderId="12" fillId="2" fontId="19" numFmtId="166" xfId="0" applyAlignment="1" applyBorder="1" applyFont="1" applyNumberFormat="1">
      <alignment horizontal="right" vertical="center"/>
    </xf>
    <xf borderId="1" fillId="3" fontId="20" numFmtId="0" xfId="0" applyAlignment="1" applyBorder="1" applyFont="1">
      <alignment horizontal="center" vertical="center"/>
    </xf>
    <xf borderId="12" fillId="5" fontId="5" numFmtId="0" xfId="0" applyAlignment="1" applyBorder="1" applyFont="1">
      <alignment horizontal="center" vertical="center"/>
    </xf>
    <xf borderId="12" fillId="4" fontId="21" numFmtId="0" xfId="0" applyAlignment="1" applyBorder="1" applyFont="1">
      <alignment horizontal="right" vertical="center"/>
    </xf>
    <xf borderId="12" fillId="4" fontId="14" numFmtId="0" xfId="0" applyAlignment="1" applyBorder="1" applyFont="1">
      <alignment horizontal="right" vertical="center"/>
    </xf>
    <xf borderId="12" fillId="5" fontId="21" numFmtId="0" xfId="0" applyAlignment="1" applyBorder="1" applyFont="1">
      <alignment horizontal="right" vertical="center"/>
    </xf>
    <xf borderId="12" fillId="5" fontId="14" numFmtId="0" xfId="0" applyAlignment="1" applyBorder="1" applyFont="1">
      <alignment horizontal="right" vertical="center"/>
    </xf>
    <xf borderId="12" fillId="2" fontId="19" numFmtId="0" xfId="0" applyAlignment="1" applyBorder="1" applyFont="1">
      <alignment horizontal="right" vertical="center"/>
    </xf>
    <xf borderId="12" fillId="2" fontId="22" numFmtId="0" xfId="0" applyAlignment="1" applyBorder="1" applyFont="1">
      <alignment horizontal="center" vertical="center"/>
    </xf>
    <xf borderId="1" fillId="2" fontId="23" numFmtId="0" xfId="0" applyAlignment="1" applyBorder="1" applyFont="1">
      <alignment horizontal="center" vertical="center"/>
    </xf>
    <xf borderId="12" fillId="4" fontId="7" numFmtId="0" xfId="0" applyAlignment="1" applyBorder="1" applyFont="1">
      <alignment horizontal="center" vertical="center"/>
    </xf>
    <xf borderId="12" fillId="4" fontId="6" numFmtId="0" xfId="0" applyAlignment="1" applyBorder="1" applyFont="1">
      <alignment horizontal="right" vertical="center"/>
    </xf>
    <xf borderId="12" fillId="4" fontId="18" numFmtId="169" xfId="0" applyAlignment="1" applyBorder="1" applyFont="1" applyNumberFormat="1">
      <alignment horizontal="right" vertical="center"/>
    </xf>
    <xf borderId="12" fillId="4" fontId="13" numFmtId="169" xfId="0" applyAlignment="1" applyBorder="1" applyFont="1" applyNumberFormat="1">
      <alignment horizontal="right" vertical="center"/>
    </xf>
    <xf borderId="12" fillId="5" fontId="14" numFmtId="169" xfId="0" applyAlignment="1" applyBorder="1" applyFont="1" applyNumberFormat="1">
      <alignment horizontal="right" vertical="center"/>
    </xf>
    <xf borderId="12" fillId="5" fontId="6" numFmtId="169" xfId="0" applyAlignment="1" applyBorder="1" applyFont="1" applyNumberFormat="1">
      <alignment horizontal="right" vertical="center"/>
    </xf>
    <xf borderId="12" fillId="5" fontId="13" numFmtId="169" xfId="0" applyAlignment="1" applyBorder="1" applyFont="1" applyNumberFormat="1">
      <alignment horizontal="right" vertical="center"/>
    </xf>
    <xf borderId="12" fillId="4" fontId="14" numFmtId="169" xfId="0" applyAlignment="1" applyBorder="1" applyFont="1" applyNumberFormat="1">
      <alignment horizontal="right" vertical="center"/>
    </xf>
    <xf borderId="12" fillId="4" fontId="6" numFmtId="169" xfId="0" applyAlignment="1" applyBorder="1" applyFont="1" applyNumberFormat="1">
      <alignment horizontal="right" vertical="center"/>
    </xf>
    <xf borderId="12" fillId="4" fontId="15" numFmtId="169" xfId="0" applyAlignment="1" applyBorder="1" applyFont="1" applyNumberFormat="1">
      <alignment horizontal="right" vertical="center"/>
    </xf>
    <xf borderId="1" fillId="7" fontId="5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86.71"/>
  </cols>
  <sheetData>
    <row r="1">
      <c r="A1" s="1" t="s">
        <v>0</v>
      </c>
    </row>
    <row r="2">
      <c r="A2" s="1" t="s">
        <v>1</v>
      </c>
    </row>
    <row r="4">
      <c r="A4" s="1" t="s">
        <v>2</v>
      </c>
    </row>
    <row r="5">
      <c r="A5" s="1" t="s">
        <v>3</v>
      </c>
      <c r="B5" s="1" t="s">
        <v>4</v>
      </c>
      <c r="C5" s="1" t="s">
        <v>5</v>
      </c>
      <c r="D5" s="1" t="s">
        <v>6</v>
      </c>
    </row>
    <row r="6">
      <c r="A6" s="1" t="s">
        <v>7</v>
      </c>
      <c r="B6" s="1">
        <v>-17.0</v>
      </c>
      <c r="C6" s="1" t="s">
        <v>8</v>
      </c>
      <c r="D6" s="1" t="s">
        <v>9</v>
      </c>
    </row>
    <row r="7">
      <c r="A7" s="1" t="s">
        <v>10</v>
      </c>
      <c r="B7" s="1">
        <v>80.0</v>
      </c>
      <c r="C7" s="1" t="s">
        <v>8</v>
      </c>
      <c r="D7" s="1" t="s">
        <v>9</v>
      </c>
    </row>
    <row r="8">
      <c r="A8" s="1" t="s">
        <v>11</v>
      </c>
      <c r="B8" s="1">
        <v>1.08</v>
      </c>
      <c r="C8" s="1" t="s">
        <v>12</v>
      </c>
      <c r="D8" s="1" t="s">
        <v>13</v>
      </c>
    </row>
    <row r="9">
      <c r="A9" s="1" t="s">
        <v>14</v>
      </c>
      <c r="B9" s="1">
        <v>100.0</v>
      </c>
      <c r="C9" s="1" t="s">
        <v>15</v>
      </c>
    </row>
    <row r="10">
      <c r="A10" s="1" t="s">
        <v>16</v>
      </c>
      <c r="B10" s="1">
        <v>4.0</v>
      </c>
      <c r="C10" s="1" t="s">
        <v>17</v>
      </c>
    </row>
    <row r="11">
      <c r="A11" s="1" t="s">
        <v>18</v>
      </c>
      <c r="B11" s="1">
        <v>400.0</v>
      </c>
      <c r="C11" s="1" t="s">
        <v>19</v>
      </c>
      <c r="D11" s="2">
        <f>(B7*B8)</f>
        <v>86.4</v>
      </c>
    </row>
    <row r="12">
      <c r="A12" s="1" t="s">
        <v>20</v>
      </c>
      <c r="B12" s="1">
        <v>4.0</v>
      </c>
      <c r="C12" s="1" t="s">
        <v>17</v>
      </c>
    </row>
    <row r="14">
      <c r="A14" s="1" t="s">
        <v>21</v>
      </c>
    </row>
    <row r="15">
      <c r="A15" s="1" t="s">
        <v>22</v>
      </c>
      <c r="B15" s="1" t="s">
        <v>23</v>
      </c>
      <c r="C15" s="1" t="s">
        <v>24</v>
      </c>
      <c r="D15" s="1" t="s">
        <v>25</v>
      </c>
      <c r="E15" s="1" t="s">
        <v>26</v>
      </c>
    </row>
    <row r="16">
      <c r="A16" s="1" t="s">
        <v>27</v>
      </c>
      <c r="B16" s="1">
        <v>100.0</v>
      </c>
      <c r="C16" s="1">
        <v>200.0</v>
      </c>
      <c r="D16" s="1">
        <v>300.0</v>
      </c>
      <c r="E16" s="1" t="s">
        <v>28</v>
      </c>
    </row>
    <row r="17">
      <c r="A17" s="1" t="s">
        <v>29</v>
      </c>
      <c r="B17" s="1">
        <v>100.0</v>
      </c>
      <c r="C17" s="1">
        <v>100.0</v>
      </c>
      <c r="D17" s="1">
        <v>100.0</v>
      </c>
      <c r="E17" s="1" t="s">
        <v>28</v>
      </c>
    </row>
    <row r="18">
      <c r="A18" s="1" t="s">
        <v>30</v>
      </c>
      <c r="B18" s="1">
        <v>1.08E8</v>
      </c>
      <c r="C18" s="1">
        <v>2.16E8</v>
      </c>
      <c r="D18" s="1">
        <v>3.24E8</v>
      </c>
      <c r="E18" s="2" t="str">
        <f>(Capacity * 1000000) * $B$6</f>
        <v>#NAME?</v>
      </c>
    </row>
    <row r="20">
      <c r="A20" s="1" t="s">
        <v>31</v>
      </c>
    </row>
    <row r="21">
      <c r="A21" s="1" t="s">
        <v>32</v>
      </c>
      <c r="B21" s="1">
        <v>400.0</v>
      </c>
      <c r="C21" s="1">
        <v>400.0</v>
      </c>
      <c r="D21" s="1">
        <v>400.0</v>
      </c>
      <c r="E21" s="2">
        <f>$B$9</f>
        <v>100</v>
      </c>
    </row>
    <row r="22">
      <c r="A22" s="1" t="s">
        <v>33</v>
      </c>
      <c r="B22" s="1">
        <v>32000.0</v>
      </c>
      <c r="C22" s="1">
        <v>32000.0</v>
      </c>
      <c r="D22" s="1">
        <v>32000.0</v>
      </c>
      <c r="E22" s="2" t="str">
        <f>(Discharge Volume * $B$5)</f>
        <v>#ERROR!</v>
      </c>
    </row>
    <row r="24">
      <c r="A24" s="1" t="s">
        <v>34</v>
      </c>
    </row>
    <row r="25">
      <c r="A25" s="1" t="s">
        <v>35</v>
      </c>
      <c r="B25" s="1">
        <v>0.0</v>
      </c>
      <c r="C25" s="1">
        <v>100.0</v>
      </c>
      <c r="D25" s="1">
        <v>200.0</v>
      </c>
      <c r="E25" s="2" t="str">
        <f>MAX(0; Solar MW - Battery MW)</f>
        <v>#ERROR!</v>
      </c>
    </row>
    <row r="26">
      <c r="A26" s="1" t="s">
        <v>36</v>
      </c>
      <c r="B26" s="1">
        <v>0.0</v>
      </c>
      <c r="C26" s="1">
        <v>400.0</v>
      </c>
      <c r="D26" s="1">
        <v>800.0</v>
      </c>
      <c r="E26" s="2" t="str">
        <f>(Excess MW * $B$10)</f>
        <v>#ERROR!</v>
      </c>
    </row>
    <row r="27">
      <c r="A27" s="1" t="s">
        <v>37</v>
      </c>
      <c r="B27" s="1">
        <v>0.0</v>
      </c>
      <c r="C27" s="1">
        <v>-6800.0</v>
      </c>
      <c r="D27" s="1">
        <v>-13600.0</v>
      </c>
      <c r="E27" s="2" t="str">
        <f>(Total Curtailed * $B$4)</f>
        <v>#ERROR!</v>
      </c>
    </row>
    <row r="29">
      <c r="A29" s="1" t="s">
        <v>38</v>
      </c>
    </row>
    <row r="30">
      <c r="A30" s="1" t="s">
        <v>39</v>
      </c>
      <c r="B30" s="1">
        <v>32000.0</v>
      </c>
      <c r="C30" s="1">
        <v>25200.0</v>
      </c>
      <c r="D30" s="1">
        <v>18400.0</v>
      </c>
      <c r="E30" s="2" t="str">
        <f>(Gross Revenue + Export Penalty)</f>
        <v>#ERROR!</v>
      </c>
    </row>
    <row r="31">
      <c r="A31" s="1" t="s">
        <v>40</v>
      </c>
      <c r="B31" s="1">
        <v>1.168E7</v>
      </c>
      <c r="C31" s="1">
        <v>9198000.0</v>
      </c>
      <c r="D31" s="1">
        <v>6716000.0</v>
      </c>
      <c r="E31" s="2" t="str">
        <f>(Net Daily Profit * 365)</f>
        <v>#ERROR!</v>
      </c>
    </row>
    <row r="32">
      <c r="A32" s="1" t="s">
        <v>41</v>
      </c>
      <c r="B32" s="3">
        <v>0.1081</v>
      </c>
      <c r="C32" s="3">
        <v>0.0426</v>
      </c>
      <c r="D32" s="3">
        <v>0.0207</v>
      </c>
      <c r="E32" s="2" t="str">
        <f>(Annual Arbitrage / Total CapEx)</f>
        <v>#ERROR!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75"/>
  <cols>
    <col customWidth="1" min="1" max="1" width="38.0"/>
    <col customWidth="1" min="2" max="2" width="22.0"/>
    <col customWidth="1" min="3" max="3" width="52.0"/>
    <col customWidth="1" min="4" max="4" width="38.0"/>
    <col customWidth="1" min="5" max="6" width="5.0"/>
    <col customWidth="1" min="7" max="26" width="8.71"/>
  </cols>
  <sheetData>
    <row r="1" ht="49.5" customHeight="1">
      <c r="A1" s="4" t="s">
        <v>42</v>
      </c>
      <c r="B1" s="5"/>
      <c r="C1" s="5"/>
      <c r="D1" s="5"/>
      <c r="E1" s="5"/>
      <c r="F1" s="6"/>
    </row>
    <row r="2" ht="30.0" customHeight="1">
      <c r="A2" s="7" t="s">
        <v>43</v>
      </c>
      <c r="B2" s="5"/>
      <c r="C2" s="5"/>
      <c r="D2" s="5"/>
      <c r="E2" s="5"/>
      <c r="F2" s="6"/>
    </row>
    <row r="4">
      <c r="A4" s="8" t="s">
        <v>44</v>
      </c>
      <c r="B4" s="9" t="s">
        <v>45</v>
      </c>
      <c r="C4" s="9" t="s">
        <v>46</v>
      </c>
      <c r="D4" s="10" t="s">
        <v>47</v>
      </c>
    </row>
    <row r="5">
      <c r="A5" s="11" t="s">
        <v>48</v>
      </c>
      <c r="B5" s="12" t="s">
        <v>49</v>
      </c>
      <c r="C5" s="13" t="s">
        <v>50</v>
      </c>
      <c r="D5" s="14" t="s">
        <v>51</v>
      </c>
    </row>
    <row r="6">
      <c r="A6" s="15" t="s">
        <v>52</v>
      </c>
      <c r="B6" s="16" t="s">
        <v>53</v>
      </c>
      <c r="C6" s="17" t="s">
        <v>54</v>
      </c>
      <c r="D6" s="18" t="s">
        <v>55</v>
      </c>
    </row>
    <row r="7">
      <c r="A7" s="11" t="s">
        <v>56</v>
      </c>
      <c r="B7" s="12" t="s">
        <v>57</v>
      </c>
      <c r="C7" s="13" t="s">
        <v>58</v>
      </c>
      <c r="D7" s="14" t="s">
        <v>59</v>
      </c>
    </row>
    <row r="8">
      <c r="A8" s="15" t="s">
        <v>60</v>
      </c>
      <c r="B8" s="16" t="s">
        <v>61</v>
      </c>
      <c r="C8" s="17" t="s">
        <v>62</v>
      </c>
      <c r="D8" s="18" t="s">
        <v>63</v>
      </c>
    </row>
    <row r="9">
      <c r="A9" s="11" t="s">
        <v>64</v>
      </c>
      <c r="B9" s="12" t="s">
        <v>65</v>
      </c>
      <c r="C9" s="13" t="s">
        <v>66</v>
      </c>
      <c r="D9" s="14" t="s">
        <v>67</v>
      </c>
    </row>
    <row r="10">
      <c r="A10" s="15" t="s">
        <v>68</v>
      </c>
      <c r="B10" s="16" t="s">
        <v>69</v>
      </c>
      <c r="C10" s="17" t="s">
        <v>70</v>
      </c>
      <c r="D10" s="18" t="s">
        <v>71</v>
      </c>
    </row>
    <row r="11">
      <c r="A11" s="19"/>
      <c r="B11" s="20"/>
      <c r="C11" s="20"/>
      <c r="D11" s="21"/>
    </row>
    <row r="12">
      <c r="A12" s="22" t="s">
        <v>72</v>
      </c>
      <c r="B12" s="23"/>
      <c r="C12" s="23"/>
      <c r="D12" s="23"/>
      <c r="E12" s="23"/>
      <c r="F12" s="23"/>
    </row>
    <row r="13">
      <c r="A13" s="24" t="s">
        <v>73</v>
      </c>
      <c r="B13" s="25" t="s">
        <v>4</v>
      </c>
      <c r="C13" s="26" t="s">
        <v>6</v>
      </c>
    </row>
    <row r="14">
      <c r="A14" s="27" t="s">
        <v>74</v>
      </c>
      <c r="B14" s="28" t="s">
        <v>75</v>
      </c>
      <c r="C14" s="29" t="s">
        <v>76</v>
      </c>
    </row>
    <row r="15">
      <c r="A15" s="30" t="s">
        <v>77</v>
      </c>
      <c r="B15" s="31" t="s">
        <v>78</v>
      </c>
      <c r="C15" s="32" t="s">
        <v>79</v>
      </c>
    </row>
    <row r="16">
      <c r="A16" s="27" t="s">
        <v>80</v>
      </c>
      <c r="B16" s="28" t="s">
        <v>81</v>
      </c>
      <c r="C16" s="29" t="s">
        <v>82</v>
      </c>
    </row>
    <row r="17">
      <c r="A17" s="30" t="s">
        <v>83</v>
      </c>
      <c r="B17" s="31" t="s">
        <v>84</v>
      </c>
      <c r="C17" s="32" t="s">
        <v>76</v>
      </c>
    </row>
    <row r="18">
      <c r="A18" s="27" t="s">
        <v>85</v>
      </c>
      <c r="B18" s="28" t="s">
        <v>86</v>
      </c>
      <c r="C18" s="29" t="s">
        <v>87</v>
      </c>
    </row>
    <row r="19">
      <c r="A19" s="30" t="s">
        <v>88</v>
      </c>
      <c r="B19" s="31" t="s">
        <v>89</v>
      </c>
      <c r="C19" s="32" t="s">
        <v>90</v>
      </c>
    </row>
    <row r="20">
      <c r="A20" s="27" t="s">
        <v>91</v>
      </c>
      <c r="B20" s="28" t="s">
        <v>92</v>
      </c>
      <c r="C20" s="29" t="s">
        <v>93</v>
      </c>
    </row>
    <row r="21">
      <c r="A21" s="19"/>
      <c r="B21" s="20"/>
      <c r="C21" s="21"/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3">
    <mergeCell ref="A1:F1"/>
    <mergeCell ref="A2:F2"/>
    <mergeCell ref="A12:F1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75"/>
  <cols>
    <col customWidth="1" min="1" max="1" width="35.14"/>
    <col customWidth="1" min="2" max="2" width="18.0"/>
    <col customWidth="1" min="3" max="3" width="27.29"/>
    <col customWidth="1" min="4" max="5" width="16.0"/>
    <col customWidth="1" min="6" max="6" width="18.0"/>
    <col customWidth="1" min="7" max="7" width="38.0"/>
    <col customWidth="1" min="8" max="26" width="8.71"/>
  </cols>
  <sheetData>
    <row r="1" ht="34.5" customHeight="1">
      <c r="A1" s="33" t="s">
        <v>94</v>
      </c>
      <c r="B1" s="5"/>
      <c r="C1" s="5"/>
      <c r="D1" s="5"/>
      <c r="E1" s="5"/>
      <c r="F1" s="5"/>
      <c r="G1" s="6"/>
    </row>
    <row r="2">
      <c r="A2" s="34" t="s">
        <v>95</v>
      </c>
      <c r="B2" s="5"/>
      <c r="C2" s="5"/>
      <c r="D2" s="5"/>
      <c r="E2" s="5"/>
      <c r="F2" s="5"/>
      <c r="G2" s="6"/>
    </row>
    <row r="4">
      <c r="A4" s="35" t="s">
        <v>96</v>
      </c>
      <c r="B4" s="35" t="s">
        <v>97</v>
      </c>
      <c r="C4" s="35" t="s">
        <v>98</v>
      </c>
      <c r="D4" s="35" t="s">
        <v>99</v>
      </c>
      <c r="E4" s="35" t="s">
        <v>100</v>
      </c>
      <c r="F4" s="35" t="s">
        <v>101</v>
      </c>
      <c r="G4" s="35" t="s">
        <v>102</v>
      </c>
    </row>
    <row r="5">
      <c r="A5" s="36">
        <v>0.0</v>
      </c>
      <c r="B5" s="37">
        <v>28.0</v>
      </c>
      <c r="C5" s="38">
        <v>42.0</v>
      </c>
      <c r="D5" s="37">
        <v>0.0</v>
      </c>
      <c r="E5" s="37">
        <v>0.0</v>
      </c>
      <c r="F5" s="39">
        <v>0.0</v>
      </c>
      <c r="G5" s="40" t="s">
        <v>103</v>
      </c>
    </row>
    <row r="6">
      <c r="A6" s="41">
        <v>1.0</v>
      </c>
      <c r="B6" s="42">
        <v>26.0</v>
      </c>
      <c r="C6" s="43">
        <v>38.0</v>
      </c>
      <c r="D6" s="42">
        <v>0.0</v>
      </c>
      <c r="E6" s="42">
        <v>0.0</v>
      </c>
      <c r="F6" s="44">
        <v>0.0</v>
      </c>
      <c r="G6" s="45"/>
    </row>
    <row r="7">
      <c r="A7" s="36">
        <v>2.0</v>
      </c>
      <c r="B7" s="37">
        <v>24.0</v>
      </c>
      <c r="C7" s="38">
        <v>35.0</v>
      </c>
      <c r="D7" s="37">
        <v>0.0</v>
      </c>
      <c r="E7" s="37">
        <v>0.0</v>
      </c>
      <c r="F7" s="39">
        <v>0.0</v>
      </c>
      <c r="G7" s="40"/>
    </row>
    <row r="8">
      <c r="A8" s="41">
        <v>3.0</v>
      </c>
      <c r="B8" s="42">
        <v>23.0</v>
      </c>
      <c r="C8" s="43">
        <v>33.0</v>
      </c>
      <c r="D8" s="42">
        <v>0.0</v>
      </c>
      <c r="E8" s="42">
        <v>0.0</v>
      </c>
      <c r="F8" s="44">
        <v>0.0</v>
      </c>
      <c r="G8" s="45"/>
    </row>
    <row r="9">
      <c r="A9" s="36">
        <v>4.0</v>
      </c>
      <c r="B9" s="37">
        <v>22.0</v>
      </c>
      <c r="C9" s="38">
        <v>31.0</v>
      </c>
      <c r="D9" s="37">
        <v>0.0</v>
      </c>
      <c r="E9" s="37">
        <v>0.0</v>
      </c>
      <c r="F9" s="39">
        <v>0.0</v>
      </c>
      <c r="G9" s="40" t="s">
        <v>104</v>
      </c>
    </row>
    <row r="10">
      <c r="A10" s="41">
        <v>5.0</v>
      </c>
      <c r="B10" s="42">
        <v>23.0</v>
      </c>
      <c r="C10" s="43">
        <v>33.0</v>
      </c>
      <c r="D10" s="42">
        <v>0.2</v>
      </c>
      <c r="E10" s="42">
        <v>0.0</v>
      </c>
      <c r="F10" s="44">
        <v>0.0</v>
      </c>
      <c r="G10" s="45" t="s">
        <v>105</v>
      </c>
    </row>
    <row r="11">
      <c r="A11" s="36">
        <v>6.0</v>
      </c>
      <c r="B11" s="37">
        <v>25.0</v>
      </c>
      <c r="C11" s="38">
        <v>40.0</v>
      </c>
      <c r="D11" s="37">
        <v>2.0</v>
      </c>
      <c r="E11" s="37">
        <v>0.0</v>
      </c>
      <c r="F11" s="39">
        <v>0.0</v>
      </c>
      <c r="G11" s="40"/>
    </row>
    <row r="12">
      <c r="A12" s="41">
        <v>7.0</v>
      </c>
      <c r="B12" s="42">
        <v>27.0</v>
      </c>
      <c r="C12" s="43">
        <v>45.0</v>
      </c>
      <c r="D12" s="42">
        <v>6.0</v>
      </c>
      <c r="E12" s="42">
        <v>0.0</v>
      </c>
      <c r="F12" s="44">
        <v>0.0</v>
      </c>
      <c r="G12" s="45" t="s">
        <v>106</v>
      </c>
    </row>
    <row r="13">
      <c r="A13" s="36">
        <v>8.0</v>
      </c>
      <c r="B13" s="37">
        <v>28.0</v>
      </c>
      <c r="C13" s="38">
        <v>48.0</v>
      </c>
      <c r="D13" s="37">
        <v>10.0</v>
      </c>
      <c r="E13" s="37">
        <v>0.0</v>
      </c>
      <c r="F13" s="39">
        <v>0.0</v>
      </c>
      <c r="G13" s="40"/>
    </row>
    <row r="14">
      <c r="A14" s="41">
        <v>9.0</v>
      </c>
      <c r="B14" s="42">
        <v>22.0</v>
      </c>
      <c r="C14" s="43">
        <v>20.0</v>
      </c>
      <c r="D14" s="42">
        <v>15.0</v>
      </c>
      <c r="E14" s="46">
        <v>2.0</v>
      </c>
      <c r="F14" s="47">
        <v>18.25</v>
      </c>
      <c r="G14" s="45" t="s">
        <v>107</v>
      </c>
    </row>
    <row r="15">
      <c r="A15" s="36">
        <v>10.0</v>
      </c>
      <c r="B15" s="37">
        <v>18.0</v>
      </c>
      <c r="C15" s="48">
        <v>8.0</v>
      </c>
      <c r="D15" s="37">
        <v>19.0</v>
      </c>
      <c r="E15" s="49">
        <v>5.0</v>
      </c>
      <c r="F15" s="50">
        <v>45.62</v>
      </c>
      <c r="G15" s="40" t="s">
        <v>108</v>
      </c>
    </row>
    <row r="16">
      <c r="A16" s="41">
        <v>11.0</v>
      </c>
      <c r="B16" s="42">
        <v>16.0</v>
      </c>
      <c r="C16" s="51">
        <v>4.0</v>
      </c>
      <c r="D16" s="42">
        <v>22.0</v>
      </c>
      <c r="E16" s="46">
        <v>7.0</v>
      </c>
      <c r="F16" s="47">
        <v>63.88</v>
      </c>
      <c r="G16" s="45"/>
    </row>
    <row r="17">
      <c r="A17" s="36">
        <v>12.0</v>
      </c>
      <c r="B17" s="37">
        <v>15.0</v>
      </c>
      <c r="C17" s="48">
        <v>2.0</v>
      </c>
      <c r="D17" s="37">
        <v>23.0</v>
      </c>
      <c r="E17" s="49">
        <v>8.5</v>
      </c>
      <c r="F17" s="50">
        <v>77.56</v>
      </c>
      <c r="G17" s="40" t="s">
        <v>109</v>
      </c>
    </row>
    <row r="18">
      <c r="A18" s="41">
        <v>13.0</v>
      </c>
      <c r="B18" s="42">
        <v>15.0</v>
      </c>
      <c r="C18" s="51">
        <v>3.0</v>
      </c>
      <c r="D18" s="42">
        <v>22.5</v>
      </c>
      <c r="E18" s="46">
        <v>8.0</v>
      </c>
      <c r="F18" s="47">
        <v>73.0</v>
      </c>
      <c r="G18" s="45"/>
    </row>
    <row r="19">
      <c r="A19" s="36">
        <v>14.0</v>
      </c>
      <c r="B19" s="37">
        <v>16.0</v>
      </c>
      <c r="C19" s="48">
        <v>5.0</v>
      </c>
      <c r="D19" s="37">
        <v>21.0</v>
      </c>
      <c r="E19" s="49">
        <v>6.5</v>
      </c>
      <c r="F19" s="50">
        <v>59.31</v>
      </c>
      <c r="G19" s="40"/>
    </row>
    <row r="20">
      <c r="A20" s="41">
        <v>15.0</v>
      </c>
      <c r="B20" s="42">
        <v>18.0</v>
      </c>
      <c r="C20" s="43">
        <v>12.0</v>
      </c>
      <c r="D20" s="42">
        <v>18.0</v>
      </c>
      <c r="E20" s="46">
        <v>4.0</v>
      </c>
      <c r="F20" s="47">
        <v>36.5</v>
      </c>
      <c r="G20" s="45" t="s">
        <v>110</v>
      </c>
    </row>
    <row r="21">
      <c r="A21" s="36">
        <v>16.0</v>
      </c>
      <c r="B21" s="37">
        <v>21.0</v>
      </c>
      <c r="C21" s="38">
        <v>28.0</v>
      </c>
      <c r="D21" s="37">
        <v>14.0</v>
      </c>
      <c r="E21" s="37">
        <v>0.0</v>
      </c>
      <c r="F21" s="39">
        <v>0.0</v>
      </c>
      <c r="G21" s="40"/>
    </row>
    <row r="22">
      <c r="A22" s="41">
        <v>17.0</v>
      </c>
      <c r="B22" s="42">
        <v>25.0</v>
      </c>
      <c r="C22" s="43">
        <v>65.0</v>
      </c>
      <c r="D22" s="42">
        <v>8.0</v>
      </c>
      <c r="E22" s="42">
        <v>0.0</v>
      </c>
      <c r="F22" s="44">
        <v>0.0</v>
      </c>
      <c r="G22" s="45" t="s">
        <v>111</v>
      </c>
    </row>
    <row r="23">
      <c r="A23" s="36">
        <v>18.0</v>
      </c>
      <c r="B23" s="37">
        <v>29.0</v>
      </c>
      <c r="C23" s="52">
        <v>120.0</v>
      </c>
      <c r="D23" s="37">
        <v>3.0</v>
      </c>
      <c r="E23" s="37">
        <v>0.0</v>
      </c>
      <c r="F23" s="39">
        <v>0.0</v>
      </c>
      <c r="G23" s="40" t="s">
        <v>112</v>
      </c>
    </row>
    <row r="24">
      <c r="A24" s="41">
        <v>19.0</v>
      </c>
      <c r="B24" s="42">
        <v>31.0</v>
      </c>
      <c r="C24" s="53">
        <v>180.0</v>
      </c>
      <c r="D24" s="42">
        <v>1.0</v>
      </c>
      <c r="E24" s="42">
        <v>0.0</v>
      </c>
      <c r="F24" s="44">
        <v>0.0</v>
      </c>
      <c r="G24" s="45" t="s">
        <v>113</v>
      </c>
    </row>
    <row r="25">
      <c r="A25" s="36">
        <v>20.0</v>
      </c>
      <c r="B25" s="37">
        <v>30.0</v>
      </c>
      <c r="C25" s="52">
        <v>160.0</v>
      </c>
      <c r="D25" s="37">
        <v>0.2</v>
      </c>
      <c r="E25" s="37">
        <v>0.0</v>
      </c>
      <c r="F25" s="39">
        <v>0.0</v>
      </c>
      <c r="G25" s="40"/>
    </row>
    <row r="26">
      <c r="A26" s="41">
        <v>21.0</v>
      </c>
      <c r="B26" s="42">
        <v>29.0</v>
      </c>
      <c r="C26" s="53">
        <v>130.0</v>
      </c>
      <c r="D26" s="42">
        <v>0.0</v>
      </c>
      <c r="E26" s="42">
        <v>0.0</v>
      </c>
      <c r="F26" s="44">
        <v>0.0</v>
      </c>
      <c r="G26" s="45"/>
    </row>
    <row r="27">
      <c r="A27" s="36">
        <v>22.0</v>
      </c>
      <c r="B27" s="37">
        <v>28.0</v>
      </c>
      <c r="C27" s="38">
        <v>90.0</v>
      </c>
      <c r="D27" s="37">
        <v>0.0</v>
      </c>
      <c r="E27" s="37">
        <v>0.0</v>
      </c>
      <c r="F27" s="39">
        <v>0.0</v>
      </c>
      <c r="G27" s="40"/>
    </row>
    <row r="28">
      <c r="A28" s="41">
        <v>23.0</v>
      </c>
      <c r="B28" s="42">
        <v>27.0</v>
      </c>
      <c r="C28" s="43">
        <v>60.0</v>
      </c>
      <c r="D28" s="42">
        <v>0.0</v>
      </c>
      <c r="E28" s="42">
        <v>0.0</v>
      </c>
      <c r="F28" s="44">
        <v>0.0</v>
      </c>
      <c r="G28" s="45" t="s">
        <v>114</v>
      </c>
    </row>
    <row r="29"/>
    <row r="30">
      <c r="A30" s="54" t="s">
        <v>115</v>
      </c>
      <c r="B30" s="5"/>
      <c r="C30" s="5"/>
      <c r="D30" s="5"/>
      <c r="E30" s="5"/>
      <c r="F30" s="5"/>
      <c r="G30" s="6"/>
    </row>
    <row r="31">
      <c r="A31" s="55" t="s">
        <v>22</v>
      </c>
      <c r="B31" s="55" t="s">
        <v>4</v>
      </c>
      <c r="C31" s="55" t="s">
        <v>102</v>
      </c>
    </row>
    <row r="32">
      <c r="A32" s="40" t="s">
        <v>116</v>
      </c>
      <c r="B32" s="56" t="s">
        <v>117</v>
      </c>
      <c r="C32" s="40" t="s">
        <v>118</v>
      </c>
    </row>
    <row r="33">
      <c r="A33" s="45" t="s">
        <v>119</v>
      </c>
      <c r="B33" s="57" t="s">
        <v>120</v>
      </c>
      <c r="C33" s="45" t="s">
        <v>121</v>
      </c>
    </row>
    <row r="34">
      <c r="A34" s="40" t="s">
        <v>122</v>
      </c>
      <c r="B34" s="56" t="s">
        <v>123</v>
      </c>
      <c r="C34" s="40" t="s">
        <v>124</v>
      </c>
    </row>
    <row r="35">
      <c r="A35" s="45" t="s">
        <v>125</v>
      </c>
      <c r="B35" s="57" t="s">
        <v>126</v>
      </c>
      <c r="C35" s="45"/>
    </row>
    <row r="36">
      <c r="A36" s="40" t="s">
        <v>127</v>
      </c>
      <c r="B36" s="56" t="s">
        <v>128</v>
      </c>
      <c r="C36" s="40" t="s">
        <v>129</v>
      </c>
    </row>
    <row r="37">
      <c r="A37" s="45" t="s">
        <v>130</v>
      </c>
      <c r="B37" s="57" t="s">
        <v>131</v>
      </c>
      <c r="C37" s="45" t="s">
        <v>132</v>
      </c>
    </row>
    <row r="38">
      <c r="A38" s="40" t="s">
        <v>133</v>
      </c>
      <c r="B38" s="56" t="s">
        <v>134</v>
      </c>
      <c r="C38" s="40" t="s">
        <v>135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3">
    <mergeCell ref="A1:G1"/>
    <mergeCell ref="A2:G2"/>
    <mergeCell ref="A30:G30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75"/>
  <cols>
    <col customWidth="1" min="1" max="1" width="37.57"/>
    <col customWidth="1" min="2" max="2" width="39.71"/>
    <col customWidth="1" min="3" max="3" width="42.43"/>
    <col customWidth="1" min="4" max="6" width="14.0"/>
    <col customWidth="1" min="7" max="8" width="16.0"/>
    <col customWidth="1" min="9" max="9" width="18.0"/>
    <col customWidth="1" min="10" max="10" width="36.0"/>
    <col customWidth="1" min="11" max="26" width="8.71"/>
  </cols>
  <sheetData>
    <row r="1" ht="34.5" customHeight="1">
      <c r="A1" s="33" t="s">
        <v>136</v>
      </c>
      <c r="B1" s="5"/>
      <c r="C1" s="5"/>
      <c r="D1" s="5"/>
      <c r="E1" s="5"/>
      <c r="F1" s="5"/>
      <c r="G1" s="5"/>
      <c r="H1" s="5"/>
      <c r="I1" s="5"/>
      <c r="J1" s="6"/>
    </row>
    <row r="2">
      <c r="A2" s="34" t="s">
        <v>137</v>
      </c>
      <c r="B2" s="5"/>
      <c r="C2" s="5"/>
      <c r="D2" s="5"/>
      <c r="E2" s="5"/>
      <c r="F2" s="5"/>
      <c r="G2" s="5"/>
      <c r="H2" s="5"/>
      <c r="I2" s="5"/>
      <c r="J2" s="6"/>
    </row>
    <row r="4">
      <c r="A4" s="35" t="s">
        <v>138</v>
      </c>
      <c r="B4" s="35" t="s">
        <v>139</v>
      </c>
      <c r="C4" s="35" t="s">
        <v>140</v>
      </c>
      <c r="D4" s="35" t="s">
        <v>141</v>
      </c>
      <c r="E4" s="35" t="s">
        <v>142</v>
      </c>
      <c r="F4" s="35" t="s">
        <v>143</v>
      </c>
      <c r="G4" s="35" t="s">
        <v>144</v>
      </c>
      <c r="H4" s="35" t="s">
        <v>145</v>
      </c>
      <c r="I4" s="35" t="s">
        <v>146</v>
      </c>
      <c r="J4" s="35" t="s">
        <v>102</v>
      </c>
    </row>
    <row r="5">
      <c r="A5" s="58" t="s">
        <v>147</v>
      </c>
      <c r="B5" s="38">
        <v>8.0</v>
      </c>
      <c r="C5" s="52">
        <v>120.0</v>
      </c>
      <c r="D5" s="38">
        <v>112.0</v>
      </c>
      <c r="E5" s="59">
        <v>0.85</v>
      </c>
      <c r="F5" s="60">
        <v>94.0</v>
      </c>
      <c r="G5" s="61">
        <v>100.0</v>
      </c>
      <c r="H5" s="38">
        <v>9400.0</v>
      </c>
      <c r="I5" s="62">
        <v>2350000.0</v>
      </c>
      <c r="J5" s="40" t="s">
        <v>148</v>
      </c>
    </row>
    <row r="6">
      <c r="A6" s="63" t="s">
        <v>149</v>
      </c>
      <c r="B6" s="43">
        <v>5.0</v>
      </c>
      <c r="C6" s="53">
        <v>155.0</v>
      </c>
      <c r="D6" s="43">
        <v>150.0</v>
      </c>
      <c r="E6" s="64">
        <v>0.85</v>
      </c>
      <c r="F6" s="65">
        <v>126.75</v>
      </c>
      <c r="G6" s="66">
        <v>100.0</v>
      </c>
      <c r="H6" s="43">
        <v>12675.0</v>
      </c>
      <c r="I6" s="67">
        <v>3168750.0</v>
      </c>
      <c r="J6" s="45" t="s">
        <v>150</v>
      </c>
    </row>
    <row r="7">
      <c r="A7" s="58" t="s">
        <v>151</v>
      </c>
      <c r="B7" s="38">
        <v>2.0</v>
      </c>
      <c r="C7" s="52">
        <v>200.0</v>
      </c>
      <c r="D7" s="38">
        <v>198.0</v>
      </c>
      <c r="E7" s="59">
        <v>0.85</v>
      </c>
      <c r="F7" s="60">
        <v>168.0</v>
      </c>
      <c r="G7" s="61">
        <v>100.0</v>
      </c>
      <c r="H7" s="38">
        <v>16800.0</v>
      </c>
      <c r="I7" s="62">
        <v>4200000.0</v>
      </c>
      <c r="J7" s="40" t="s">
        <v>152</v>
      </c>
    </row>
    <row r="8">
      <c r="A8" s="63" t="s">
        <v>153</v>
      </c>
      <c r="B8" s="53">
        <v>-10.0</v>
      </c>
      <c r="C8" s="53">
        <v>180.0</v>
      </c>
      <c r="D8" s="43">
        <v>190.0</v>
      </c>
      <c r="E8" s="64">
        <v>0.85</v>
      </c>
      <c r="F8" s="65">
        <v>163.0</v>
      </c>
      <c r="G8" s="66">
        <v>100.0</v>
      </c>
      <c r="H8" s="43">
        <v>16300.0</v>
      </c>
      <c r="I8" s="67">
        <v>4075000.0</v>
      </c>
      <c r="J8" s="45" t="s">
        <v>154</v>
      </c>
    </row>
    <row r="9">
      <c r="A9" s="58" t="s">
        <v>155</v>
      </c>
      <c r="B9" s="38">
        <v>5.0</v>
      </c>
      <c r="C9" s="52">
        <v>250.0</v>
      </c>
      <c r="D9" s="38">
        <v>245.0</v>
      </c>
      <c r="E9" s="59">
        <v>0.85</v>
      </c>
      <c r="F9" s="60">
        <v>207.5</v>
      </c>
      <c r="G9" s="61">
        <v>100.0</v>
      </c>
      <c r="H9" s="38">
        <v>20750.0</v>
      </c>
      <c r="I9" s="62">
        <v>5187500.0</v>
      </c>
      <c r="J9" s="40" t="s">
        <v>156</v>
      </c>
    </row>
    <row r="12">
      <c r="A12" s="54" t="s">
        <v>157</v>
      </c>
      <c r="B12" s="5"/>
      <c r="C12" s="5"/>
      <c r="D12" s="5"/>
      <c r="E12" s="5"/>
      <c r="F12" s="5"/>
      <c r="G12" s="5"/>
      <c r="H12" s="5"/>
      <c r="I12" s="5"/>
      <c r="J12" s="6"/>
    </row>
    <row r="13">
      <c r="A13" s="55" t="s">
        <v>158</v>
      </c>
      <c r="B13" s="55" t="s">
        <v>4</v>
      </c>
      <c r="C13" s="55" t="s">
        <v>159</v>
      </c>
    </row>
    <row r="14">
      <c r="A14" s="40" t="s">
        <v>160</v>
      </c>
      <c r="B14" s="68" t="s">
        <v>161</v>
      </c>
      <c r="C14" s="40" t="s">
        <v>162</v>
      </c>
    </row>
    <row r="15">
      <c r="A15" s="45" t="s">
        <v>80</v>
      </c>
      <c r="B15" s="69" t="s">
        <v>163</v>
      </c>
      <c r="C15" s="45" t="s">
        <v>164</v>
      </c>
    </row>
    <row r="16">
      <c r="A16" s="40" t="s">
        <v>165</v>
      </c>
      <c r="B16" s="68" t="s">
        <v>166</v>
      </c>
      <c r="C16" s="40" t="s">
        <v>167</v>
      </c>
    </row>
    <row r="17">
      <c r="A17" s="45" t="s">
        <v>168</v>
      </c>
      <c r="B17" s="69" t="s">
        <v>169</v>
      </c>
      <c r="C17" s="45" t="s">
        <v>170</v>
      </c>
    </row>
    <row r="18">
      <c r="A18" s="40" t="s">
        <v>171</v>
      </c>
      <c r="B18" s="68" t="s">
        <v>172</v>
      </c>
      <c r="C18" s="40" t="s">
        <v>173</v>
      </c>
    </row>
    <row r="19">
      <c r="A19" s="45" t="s">
        <v>174</v>
      </c>
      <c r="B19" s="69" t="s">
        <v>175</v>
      </c>
      <c r="C19" s="45" t="s">
        <v>176</v>
      </c>
    </row>
    <row r="20">
      <c r="A20" s="40" t="s">
        <v>177</v>
      </c>
      <c r="B20" s="68" t="s">
        <v>178</v>
      </c>
      <c r="C20" s="40" t="s">
        <v>179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3">
    <mergeCell ref="A1:J1"/>
    <mergeCell ref="A2:J2"/>
    <mergeCell ref="A12:J1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75"/>
  <cols>
    <col customWidth="1" min="1" max="3" width="16.0"/>
    <col customWidth="1" min="4" max="4" width="14.0"/>
    <col customWidth="1" min="5" max="10" width="16.0"/>
    <col customWidth="1" min="11" max="11" width="14.0"/>
    <col customWidth="1" min="12" max="26" width="8.71"/>
  </cols>
  <sheetData>
    <row r="1" ht="34.5" customHeight="1">
      <c r="A1" s="33" t="s">
        <v>180</v>
      </c>
      <c r="B1" s="5"/>
      <c r="C1" s="5"/>
      <c r="D1" s="5"/>
      <c r="E1" s="5"/>
      <c r="F1" s="5"/>
      <c r="G1" s="5"/>
      <c r="H1" s="5"/>
      <c r="I1" s="5"/>
      <c r="J1" s="5"/>
      <c r="K1" s="6"/>
    </row>
    <row r="2">
      <c r="A2" s="34" t="s">
        <v>181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4" ht="34.5" customHeight="1">
      <c r="A4" s="70" t="s">
        <v>182</v>
      </c>
      <c r="B4" s="70" t="s">
        <v>183</v>
      </c>
      <c r="C4" s="70" t="s">
        <v>184</v>
      </c>
      <c r="D4" s="70" t="s">
        <v>185</v>
      </c>
      <c r="E4" s="70" t="s">
        <v>186</v>
      </c>
      <c r="F4" s="70" t="s">
        <v>187</v>
      </c>
      <c r="G4" s="70" t="s">
        <v>188</v>
      </c>
      <c r="H4" s="70" t="s">
        <v>189</v>
      </c>
      <c r="I4" s="70" t="s">
        <v>190</v>
      </c>
      <c r="J4" s="70" t="s">
        <v>191</v>
      </c>
      <c r="K4" s="70" t="s">
        <v>192</v>
      </c>
    </row>
    <row r="5">
      <c r="A5" s="36" t="s">
        <v>193</v>
      </c>
      <c r="B5" s="71">
        <v>1.0</v>
      </c>
      <c r="C5" s="61">
        <v>200.0</v>
      </c>
      <c r="D5" s="39">
        <v>170.0</v>
      </c>
      <c r="E5" s="61">
        <v>219000.0</v>
      </c>
      <c r="F5" s="61">
        <v>16425.0</v>
      </c>
      <c r="G5" s="61">
        <v>13961.0</v>
      </c>
      <c r="H5" s="39">
        <v>1.68</v>
      </c>
      <c r="I5" s="39">
        <v>0.88</v>
      </c>
      <c r="J5" s="72">
        <v>2.55</v>
      </c>
      <c r="K5" s="73">
        <v>0.0</v>
      </c>
    </row>
    <row r="6">
      <c r="A6" s="41" t="s">
        <v>194</v>
      </c>
      <c r="B6" s="74">
        <v>1.0</v>
      </c>
      <c r="C6" s="66">
        <v>125.0</v>
      </c>
      <c r="D6" s="44">
        <v>143.75</v>
      </c>
      <c r="E6" s="66">
        <v>219000.0</v>
      </c>
      <c r="F6" s="66">
        <v>26280.0</v>
      </c>
      <c r="G6" s="66">
        <v>22338.0</v>
      </c>
      <c r="H6" s="44">
        <v>2.68</v>
      </c>
      <c r="I6" s="44">
        <v>0.55</v>
      </c>
      <c r="J6" s="75">
        <v>3.23</v>
      </c>
      <c r="K6" s="76">
        <v>0.7</v>
      </c>
    </row>
    <row r="7">
      <c r="A7" s="36" t="s">
        <v>195</v>
      </c>
      <c r="B7" s="71">
        <v>1.0</v>
      </c>
      <c r="C7" s="61">
        <v>100.0</v>
      </c>
      <c r="D7" s="39">
        <v>135.0</v>
      </c>
      <c r="E7" s="61">
        <v>219000.0</v>
      </c>
      <c r="F7" s="61">
        <v>32850.0</v>
      </c>
      <c r="G7" s="61">
        <v>25000.0</v>
      </c>
      <c r="H7" s="39">
        <v>3.0</v>
      </c>
      <c r="I7" s="39">
        <v>0.44</v>
      </c>
      <c r="J7" s="72">
        <v>3.44</v>
      </c>
      <c r="K7" s="73">
        <v>1.0</v>
      </c>
    </row>
    <row r="8">
      <c r="A8" s="77" t="s">
        <v>196</v>
      </c>
      <c r="B8" s="78">
        <v>1.0</v>
      </c>
      <c r="C8" s="79">
        <v>83.33333333333334</v>
      </c>
      <c r="D8" s="80">
        <v>129.17</v>
      </c>
      <c r="E8" s="79">
        <v>219000.0</v>
      </c>
      <c r="F8" s="81">
        <v>39420.0</v>
      </c>
      <c r="G8" s="79">
        <v>20833.0</v>
      </c>
      <c r="H8" s="80">
        <v>2.5</v>
      </c>
      <c r="I8" s="80">
        <v>0.37</v>
      </c>
      <c r="J8" s="82">
        <v>2.87</v>
      </c>
      <c r="K8" s="83">
        <v>0.7</v>
      </c>
    </row>
    <row r="9">
      <c r="A9" s="77" t="s">
        <v>197</v>
      </c>
      <c r="B9" s="78">
        <v>1.0</v>
      </c>
      <c r="C9" s="79">
        <v>66.66666666666667</v>
      </c>
      <c r="D9" s="80">
        <v>123.33</v>
      </c>
      <c r="E9" s="79">
        <v>219000.0</v>
      </c>
      <c r="F9" s="81">
        <v>49275.0</v>
      </c>
      <c r="G9" s="79">
        <v>16667.0</v>
      </c>
      <c r="H9" s="80">
        <v>2.0</v>
      </c>
      <c r="I9" s="80">
        <v>0.29</v>
      </c>
      <c r="J9" s="82">
        <v>2.29</v>
      </c>
      <c r="K9" s="83">
        <v>0.4</v>
      </c>
    </row>
    <row r="10">
      <c r="A10" s="84" t="s">
        <v>198</v>
      </c>
      <c r="B10" s="85">
        <v>1.0</v>
      </c>
      <c r="C10" s="86">
        <v>50.0</v>
      </c>
      <c r="D10" s="87">
        <v>117.5</v>
      </c>
      <c r="E10" s="86">
        <v>219000.0</v>
      </c>
      <c r="F10" s="86">
        <v>65700.0</v>
      </c>
      <c r="G10" s="86">
        <v>12500.0</v>
      </c>
      <c r="H10" s="87">
        <v>1.5</v>
      </c>
      <c r="I10" s="87">
        <v>0.22</v>
      </c>
      <c r="J10" s="88">
        <v>1.72</v>
      </c>
      <c r="K10" s="89">
        <v>0.0</v>
      </c>
    </row>
    <row r="11">
      <c r="A11" s="84" t="s">
        <v>199</v>
      </c>
      <c r="B11" s="85">
        <v>1.0</v>
      </c>
      <c r="C11" s="86">
        <v>40.0</v>
      </c>
      <c r="D11" s="87">
        <v>114.0</v>
      </c>
      <c r="E11" s="86">
        <v>219000.0</v>
      </c>
      <c r="F11" s="86">
        <v>82125.0</v>
      </c>
      <c r="G11" s="86">
        <v>10000.0</v>
      </c>
      <c r="H11" s="87">
        <v>1.2</v>
      </c>
      <c r="I11" s="87">
        <v>0.18</v>
      </c>
      <c r="J11" s="88">
        <v>1.38</v>
      </c>
      <c r="K11" s="89">
        <v>-0.3</v>
      </c>
    </row>
    <row r="12">
      <c r="A12" s="84" t="s">
        <v>200</v>
      </c>
      <c r="B12" s="85">
        <v>1.0</v>
      </c>
      <c r="C12" s="86">
        <v>33.33333333333334</v>
      </c>
      <c r="D12" s="87">
        <v>111.67</v>
      </c>
      <c r="E12" s="86">
        <v>219000.0</v>
      </c>
      <c r="F12" s="86">
        <v>98550.0</v>
      </c>
      <c r="G12" s="86">
        <v>8333.0</v>
      </c>
      <c r="H12" s="87">
        <v>1.0</v>
      </c>
      <c r="I12" s="87">
        <v>0.15</v>
      </c>
      <c r="J12" s="88">
        <v>1.15</v>
      </c>
      <c r="K12" s="89">
        <v>-0.5</v>
      </c>
    </row>
    <row r="13">
      <c r="A13" s="84" t="s">
        <v>201</v>
      </c>
      <c r="B13" s="85">
        <v>1.0</v>
      </c>
      <c r="C13" s="86">
        <v>25.0</v>
      </c>
      <c r="D13" s="87">
        <v>108.75</v>
      </c>
      <c r="E13" s="86">
        <v>219000.0</v>
      </c>
      <c r="F13" s="86">
        <v>131400.0</v>
      </c>
      <c r="G13" s="86">
        <v>6250.0</v>
      </c>
      <c r="H13" s="87">
        <v>0.75</v>
      </c>
      <c r="I13" s="87">
        <v>0.11</v>
      </c>
      <c r="J13" s="88">
        <v>0.86</v>
      </c>
      <c r="K13" s="89">
        <v>-0.7</v>
      </c>
    </row>
    <row r="14">
      <c r="A14" s="84" t="s">
        <v>202</v>
      </c>
      <c r="B14" s="85">
        <v>1.0</v>
      </c>
      <c r="C14" s="86">
        <v>20.0</v>
      </c>
      <c r="D14" s="87">
        <v>107.0</v>
      </c>
      <c r="E14" s="86">
        <v>219000.0</v>
      </c>
      <c r="F14" s="86">
        <v>153300.0</v>
      </c>
      <c r="G14" s="86">
        <v>5000.0</v>
      </c>
      <c r="H14" s="87">
        <v>0.6</v>
      </c>
      <c r="I14" s="87">
        <v>0.09</v>
      </c>
      <c r="J14" s="88">
        <v>0.69</v>
      </c>
      <c r="K14" s="89">
        <v>-0.9</v>
      </c>
    </row>
    <row r="17">
      <c r="A17" s="90" t="s">
        <v>203</v>
      </c>
      <c r="B17" s="5"/>
      <c r="C17" s="5"/>
      <c r="D17" s="6"/>
    </row>
    <row r="18">
      <c r="A18" s="91" t="s">
        <v>204</v>
      </c>
      <c r="B18" s="5"/>
      <c r="C18" s="5"/>
      <c r="D18" s="6"/>
    </row>
    <row r="20">
      <c r="A20" s="92" t="s">
        <v>205</v>
      </c>
      <c r="B20" s="5"/>
      <c r="C20" s="5"/>
      <c r="D20" s="5"/>
      <c r="E20" s="5"/>
      <c r="F20" s="5"/>
      <c r="G20" s="5"/>
      <c r="H20" s="5"/>
      <c r="I20" s="5"/>
      <c r="J20" s="5"/>
      <c r="K20" s="6"/>
    </row>
    <row r="21" ht="45.0" customHeight="1">
      <c r="A21" s="93" t="s">
        <v>206</v>
      </c>
      <c r="B21" s="6"/>
      <c r="C21" s="94" t="s">
        <v>207</v>
      </c>
      <c r="D21" s="5"/>
      <c r="E21" s="5"/>
      <c r="F21" s="5"/>
      <c r="G21" s="5"/>
      <c r="H21" s="5"/>
      <c r="I21" s="5"/>
      <c r="J21" s="5"/>
      <c r="K21" s="6"/>
    </row>
    <row r="22" ht="45.0" customHeight="1">
      <c r="A22" s="95" t="s">
        <v>208</v>
      </c>
      <c r="B22" s="6"/>
      <c r="C22" s="96" t="s">
        <v>209</v>
      </c>
      <c r="D22" s="5"/>
      <c r="E22" s="5"/>
      <c r="F22" s="5"/>
      <c r="G22" s="5"/>
      <c r="H22" s="5"/>
      <c r="I22" s="5"/>
      <c r="J22" s="5"/>
      <c r="K22" s="6"/>
    </row>
    <row r="23" ht="45.0" customHeight="1">
      <c r="A23" s="93" t="s">
        <v>210</v>
      </c>
      <c r="B23" s="6"/>
      <c r="C23" s="94" t="s">
        <v>211</v>
      </c>
      <c r="D23" s="5"/>
      <c r="E23" s="5"/>
      <c r="F23" s="5"/>
      <c r="G23" s="5"/>
      <c r="H23" s="5"/>
      <c r="I23" s="5"/>
      <c r="J23" s="5"/>
      <c r="K23" s="6"/>
    </row>
    <row r="24" ht="45.0" customHeight="1">
      <c r="A24" s="95" t="s">
        <v>212</v>
      </c>
      <c r="B24" s="6"/>
      <c r="C24" s="96" t="s">
        <v>213</v>
      </c>
      <c r="D24" s="5"/>
      <c r="E24" s="5"/>
      <c r="F24" s="5"/>
      <c r="G24" s="5"/>
      <c r="H24" s="5"/>
      <c r="I24" s="5"/>
      <c r="J24" s="5"/>
      <c r="K24" s="6"/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3">
    <mergeCell ref="A22:B22"/>
    <mergeCell ref="C22:K22"/>
    <mergeCell ref="A23:B23"/>
    <mergeCell ref="C23:K23"/>
    <mergeCell ref="A24:B24"/>
    <mergeCell ref="C24:K24"/>
    <mergeCell ref="A1:K1"/>
    <mergeCell ref="A2:K2"/>
    <mergeCell ref="A17:D17"/>
    <mergeCell ref="A18:D18"/>
    <mergeCell ref="A20:K20"/>
    <mergeCell ref="A21:B21"/>
    <mergeCell ref="C21:K2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75"/>
  <cols>
    <col customWidth="1" min="1" max="1" width="30.0"/>
    <col customWidth="1" min="2" max="2" width="10.0"/>
    <col customWidth="1" min="3" max="3" width="24.0"/>
    <col customWidth="1" min="4" max="4" width="18.0"/>
    <col customWidth="1" min="5" max="5" width="16.0"/>
    <col customWidth="1" min="6" max="6" width="20.0"/>
    <col customWidth="1" min="7" max="7" width="50.0"/>
    <col customWidth="1" min="8" max="26" width="8.71"/>
  </cols>
  <sheetData>
    <row r="1" ht="34.5" customHeight="1">
      <c r="A1" s="33" t="s">
        <v>214</v>
      </c>
      <c r="B1" s="5"/>
      <c r="C1" s="5"/>
      <c r="D1" s="5"/>
      <c r="E1" s="5"/>
      <c r="F1" s="5"/>
      <c r="G1" s="6"/>
    </row>
    <row r="3">
      <c r="A3" s="35" t="s">
        <v>215</v>
      </c>
      <c r="B3" s="35" t="s">
        <v>216</v>
      </c>
      <c r="C3" s="35" t="s">
        <v>217</v>
      </c>
      <c r="D3" s="35" t="s">
        <v>144</v>
      </c>
      <c r="E3" s="35" t="s">
        <v>218</v>
      </c>
      <c r="F3" s="35" t="s">
        <v>219</v>
      </c>
      <c r="G3" s="35" t="s">
        <v>102</v>
      </c>
    </row>
    <row r="4">
      <c r="A4" s="58" t="s">
        <v>220</v>
      </c>
      <c r="B4" s="36" t="s">
        <v>9</v>
      </c>
      <c r="C4" s="38">
        <v>15.0</v>
      </c>
      <c r="D4" s="61">
        <v>80.0</v>
      </c>
      <c r="E4" s="59">
        <v>0.9</v>
      </c>
      <c r="F4" s="60">
        <v>9.46</v>
      </c>
      <c r="G4" s="40" t="s">
        <v>221</v>
      </c>
    </row>
    <row r="5">
      <c r="A5" s="63" t="s">
        <v>222</v>
      </c>
      <c r="B5" s="41" t="s">
        <v>9</v>
      </c>
      <c r="C5" s="43">
        <v>8.0</v>
      </c>
      <c r="D5" s="66">
        <v>80.0</v>
      </c>
      <c r="E5" s="64">
        <v>0.85</v>
      </c>
      <c r="F5" s="65">
        <v>4.77</v>
      </c>
      <c r="G5" s="45" t="s">
        <v>223</v>
      </c>
    </row>
    <row r="6">
      <c r="A6" s="58" t="s">
        <v>224</v>
      </c>
      <c r="B6" s="36" t="s">
        <v>9</v>
      </c>
      <c r="C6" s="38">
        <v>5.0</v>
      </c>
      <c r="D6" s="61">
        <v>80.0</v>
      </c>
      <c r="E6" s="59">
        <v>0.8</v>
      </c>
      <c r="F6" s="60">
        <v>2.8</v>
      </c>
      <c r="G6" s="40" t="s">
        <v>225</v>
      </c>
    </row>
    <row r="7">
      <c r="A7" s="63" t="s">
        <v>226</v>
      </c>
      <c r="B7" s="41" t="s">
        <v>9</v>
      </c>
      <c r="C7" s="43">
        <v>60000.0</v>
      </c>
      <c r="D7" s="66">
        <v>80.0</v>
      </c>
      <c r="E7" s="64">
        <v>1.0</v>
      </c>
      <c r="F7" s="65">
        <v>4.8</v>
      </c>
      <c r="G7" s="45" t="s">
        <v>227</v>
      </c>
    </row>
    <row r="8">
      <c r="A8" s="58" t="s">
        <v>228</v>
      </c>
      <c r="B8" s="36" t="s">
        <v>9</v>
      </c>
      <c r="C8" s="38">
        <v>3.0</v>
      </c>
      <c r="D8" s="61">
        <v>80.0</v>
      </c>
      <c r="E8" s="59">
        <v>0.7</v>
      </c>
      <c r="F8" s="60">
        <v>1.47</v>
      </c>
      <c r="G8" s="40" t="s">
        <v>229</v>
      </c>
    </row>
    <row r="9">
      <c r="A9" s="63" t="s">
        <v>230</v>
      </c>
      <c r="B9" s="41" t="s">
        <v>9</v>
      </c>
      <c r="C9" s="43">
        <v>6.0</v>
      </c>
      <c r="D9" s="66">
        <v>80.0</v>
      </c>
      <c r="E9" s="64">
        <v>0.95</v>
      </c>
      <c r="F9" s="65">
        <v>3.99</v>
      </c>
      <c r="G9" s="45" t="s">
        <v>231</v>
      </c>
    </row>
    <row r="10">
      <c r="A10" s="97" t="s">
        <v>232</v>
      </c>
      <c r="F10" s="98">
        <v>27.29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75"/>
  <cols>
    <col customWidth="1" min="1" max="1" width="40.0"/>
    <col customWidth="1" min="2" max="2" width="22.0"/>
    <col customWidth="1" min="3" max="3" width="50.0"/>
    <col customWidth="1" min="4" max="26" width="8.71"/>
  </cols>
  <sheetData>
    <row r="1" ht="34.5" customHeight="1">
      <c r="A1" s="33" t="s">
        <v>233</v>
      </c>
      <c r="B1" s="5"/>
      <c r="C1" s="5"/>
      <c r="D1" s="5"/>
      <c r="E1" s="5"/>
      <c r="F1" s="6"/>
    </row>
    <row r="3">
      <c r="A3" s="99" t="s">
        <v>234</v>
      </c>
      <c r="B3" s="5"/>
      <c r="C3" s="5"/>
      <c r="D3" s="5"/>
      <c r="E3" s="5"/>
      <c r="F3" s="6"/>
    </row>
    <row r="4">
      <c r="A4" s="40" t="s">
        <v>85</v>
      </c>
      <c r="B4" s="56" t="s">
        <v>86</v>
      </c>
      <c r="C4" s="40" t="s">
        <v>235</v>
      </c>
    </row>
    <row r="5">
      <c r="A5" s="45" t="s">
        <v>236</v>
      </c>
      <c r="B5" s="57" t="s">
        <v>237</v>
      </c>
      <c r="C5" s="45" t="s">
        <v>238</v>
      </c>
    </row>
    <row r="6">
      <c r="A6" s="40" t="s">
        <v>239</v>
      </c>
      <c r="B6" s="56" t="s">
        <v>240</v>
      </c>
      <c r="C6" s="40" t="s">
        <v>241</v>
      </c>
    </row>
    <row r="7">
      <c r="A7" s="45" t="s">
        <v>242</v>
      </c>
      <c r="B7" s="57" t="s">
        <v>243</v>
      </c>
      <c r="C7" s="45" t="s">
        <v>244</v>
      </c>
    </row>
    <row r="9">
      <c r="A9" s="99" t="s">
        <v>245</v>
      </c>
      <c r="B9" s="5"/>
      <c r="C9" s="5"/>
      <c r="D9" s="5"/>
      <c r="E9" s="5"/>
      <c r="F9" s="6"/>
    </row>
    <row r="10">
      <c r="A10" s="40" t="s">
        <v>246</v>
      </c>
      <c r="B10" s="56" t="s">
        <v>247</v>
      </c>
      <c r="C10" s="40" t="s">
        <v>248</v>
      </c>
    </row>
    <row r="11">
      <c r="A11" s="45" t="s">
        <v>249</v>
      </c>
      <c r="B11" s="57" t="s">
        <v>89</v>
      </c>
      <c r="C11" s="45" t="s">
        <v>250</v>
      </c>
    </row>
    <row r="12">
      <c r="A12" s="40" t="s">
        <v>251</v>
      </c>
      <c r="B12" s="56" t="s">
        <v>252</v>
      </c>
      <c r="C12" s="40" t="s">
        <v>253</v>
      </c>
    </row>
    <row r="13">
      <c r="A13" s="45" t="s">
        <v>254</v>
      </c>
      <c r="B13" s="57" t="s">
        <v>255</v>
      </c>
      <c r="C13" s="45" t="s">
        <v>256</v>
      </c>
    </row>
    <row r="15">
      <c r="A15" s="99" t="s">
        <v>257</v>
      </c>
      <c r="B15" s="5"/>
      <c r="C15" s="5"/>
      <c r="D15" s="5"/>
      <c r="E15" s="5"/>
      <c r="F15" s="6"/>
    </row>
    <row r="16">
      <c r="A16" s="40" t="s">
        <v>258</v>
      </c>
      <c r="B16" s="56" t="s">
        <v>259</v>
      </c>
      <c r="C16" s="40" t="s">
        <v>260</v>
      </c>
    </row>
    <row r="17">
      <c r="A17" s="45" t="s">
        <v>261</v>
      </c>
      <c r="B17" s="57" t="s">
        <v>262</v>
      </c>
      <c r="C17" s="45" t="s">
        <v>263</v>
      </c>
    </row>
    <row r="18">
      <c r="A18" s="40" t="s">
        <v>264</v>
      </c>
      <c r="B18" s="56" t="s">
        <v>265</v>
      </c>
      <c r="C18" s="40" t="s">
        <v>266</v>
      </c>
    </row>
    <row r="19">
      <c r="A19" s="45" t="s">
        <v>80</v>
      </c>
      <c r="B19" s="57" t="s">
        <v>81</v>
      </c>
      <c r="C19" s="45" t="s">
        <v>267</v>
      </c>
    </row>
    <row r="20">
      <c r="A20" s="40" t="s">
        <v>268</v>
      </c>
      <c r="B20" s="56" t="s">
        <v>84</v>
      </c>
      <c r="C20" s="40" t="s">
        <v>83</v>
      </c>
    </row>
    <row r="21"/>
    <row r="22">
      <c r="A22" s="99" t="s">
        <v>269</v>
      </c>
      <c r="B22" s="5"/>
      <c r="C22" s="5"/>
      <c r="D22" s="5"/>
      <c r="E22" s="5"/>
      <c r="F22" s="6"/>
    </row>
    <row r="23">
      <c r="A23" s="40" t="s">
        <v>270</v>
      </c>
      <c r="B23" s="56" t="s">
        <v>75</v>
      </c>
      <c r="C23" s="40" t="s">
        <v>271</v>
      </c>
    </row>
    <row r="24">
      <c r="A24" s="45" t="s">
        <v>272</v>
      </c>
      <c r="B24" s="57" t="s">
        <v>273</v>
      </c>
      <c r="C24" s="45" t="s">
        <v>274</v>
      </c>
    </row>
    <row r="25">
      <c r="A25" s="40" t="s">
        <v>275</v>
      </c>
      <c r="B25" s="56" t="s">
        <v>276</v>
      </c>
      <c r="C25" s="40" t="s">
        <v>277</v>
      </c>
    </row>
    <row r="26">
      <c r="A26" s="45" t="s">
        <v>278</v>
      </c>
      <c r="B26" s="57" t="s">
        <v>279</v>
      </c>
      <c r="C26" s="45" t="s">
        <v>280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5">
    <mergeCell ref="A1:F1"/>
    <mergeCell ref="A3:F3"/>
    <mergeCell ref="A9:F9"/>
    <mergeCell ref="A15:F15"/>
    <mergeCell ref="A22:F22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75"/>
  <cols>
    <col customWidth="1" min="1" max="1" width="39.14"/>
    <col customWidth="1" min="2" max="2" width="18.0"/>
    <col customWidth="1" min="3" max="3" width="14.0"/>
    <col customWidth="1" min="4" max="4" width="39.57"/>
    <col customWidth="1" min="5" max="5" width="16.0"/>
    <col customWidth="1" min="6" max="6" width="20.0"/>
    <col customWidth="1" min="7" max="7" width="30.0"/>
    <col customWidth="1" min="8" max="26" width="8.71"/>
  </cols>
  <sheetData>
    <row r="1" ht="34.5" customHeight="1">
      <c r="A1" s="33" t="s">
        <v>281</v>
      </c>
      <c r="B1" s="5"/>
      <c r="C1" s="5"/>
      <c r="D1" s="5"/>
      <c r="E1" s="5"/>
      <c r="F1" s="5"/>
      <c r="G1" s="6"/>
    </row>
    <row r="2">
      <c r="A2" s="34" t="s">
        <v>282</v>
      </c>
      <c r="B2" s="5"/>
      <c r="C2" s="5"/>
      <c r="D2" s="5"/>
      <c r="E2" s="5"/>
      <c r="F2" s="5"/>
      <c r="G2" s="6"/>
    </row>
    <row r="4">
      <c r="A4" s="35" t="s">
        <v>283</v>
      </c>
      <c r="B4" s="35" t="s">
        <v>4</v>
      </c>
      <c r="C4" s="100"/>
      <c r="D4" s="35" t="s">
        <v>284</v>
      </c>
      <c r="E4" s="35" t="s">
        <v>285</v>
      </c>
      <c r="F4" s="35" t="s">
        <v>286</v>
      </c>
    </row>
    <row r="5">
      <c r="A5" s="40" t="s">
        <v>287</v>
      </c>
      <c r="B5" s="101" t="s">
        <v>288</v>
      </c>
      <c r="D5" s="40" t="s">
        <v>289</v>
      </c>
      <c r="E5" s="102" t="s">
        <v>290</v>
      </c>
      <c r="F5" s="36" t="s">
        <v>291</v>
      </c>
    </row>
    <row r="6">
      <c r="A6" s="45" t="s">
        <v>292</v>
      </c>
      <c r="B6" s="103" t="s">
        <v>293</v>
      </c>
      <c r="D6" s="45" t="s">
        <v>294</v>
      </c>
      <c r="E6" s="104" t="s">
        <v>295</v>
      </c>
      <c r="F6" s="41" t="s">
        <v>296</v>
      </c>
    </row>
    <row r="7">
      <c r="A7" s="40" t="s">
        <v>297</v>
      </c>
      <c r="B7" s="101" t="s">
        <v>298</v>
      </c>
      <c r="D7" s="40" t="s">
        <v>299</v>
      </c>
      <c r="E7" s="102" t="s">
        <v>300</v>
      </c>
      <c r="F7" s="36" t="s">
        <v>301</v>
      </c>
    </row>
    <row r="8">
      <c r="A8" s="45" t="s">
        <v>302</v>
      </c>
      <c r="B8" s="103" t="s">
        <v>303</v>
      </c>
      <c r="D8" s="45" t="s">
        <v>304</v>
      </c>
      <c r="E8" s="104" t="s">
        <v>305</v>
      </c>
      <c r="F8" s="41" t="s">
        <v>306</v>
      </c>
    </row>
    <row r="9">
      <c r="A9" s="40" t="s">
        <v>307</v>
      </c>
      <c r="B9" s="101" t="s">
        <v>308</v>
      </c>
      <c r="D9" s="40" t="s">
        <v>309</v>
      </c>
      <c r="E9" s="102" t="s">
        <v>310</v>
      </c>
      <c r="F9" s="36" t="s">
        <v>311</v>
      </c>
    </row>
    <row r="10">
      <c r="A10" s="97" t="s">
        <v>312</v>
      </c>
      <c r="B10" s="105" t="s">
        <v>313</v>
      </c>
      <c r="D10" s="45" t="s">
        <v>314</v>
      </c>
      <c r="E10" s="104" t="s">
        <v>315</v>
      </c>
      <c r="F10" s="41" t="s">
        <v>296</v>
      </c>
    </row>
    <row r="11">
      <c r="D11" s="97" t="s">
        <v>316</v>
      </c>
      <c r="E11" s="105" t="s">
        <v>317</v>
      </c>
      <c r="F11" s="106"/>
    </row>
    <row r="14">
      <c r="A14" s="107" t="s">
        <v>318</v>
      </c>
      <c r="B14" s="5"/>
      <c r="C14" s="5"/>
      <c r="D14" s="5"/>
      <c r="E14" s="5"/>
      <c r="F14" s="5"/>
      <c r="G14" s="6"/>
    </row>
    <row r="15">
      <c r="A15" s="35" t="s">
        <v>319</v>
      </c>
      <c r="B15" s="35" t="s">
        <v>320</v>
      </c>
      <c r="C15" s="35" t="s">
        <v>321</v>
      </c>
      <c r="D15" s="35" t="s">
        <v>322</v>
      </c>
      <c r="E15" s="35" t="s">
        <v>323</v>
      </c>
      <c r="F15" s="35" t="s">
        <v>324</v>
      </c>
      <c r="G15" s="35" t="s">
        <v>102</v>
      </c>
    </row>
    <row r="16">
      <c r="A16" s="108">
        <v>0.0</v>
      </c>
      <c r="B16" s="109"/>
      <c r="C16" s="109"/>
      <c r="D16" s="109"/>
      <c r="E16" s="110">
        <v>-154.0</v>
      </c>
      <c r="F16" s="111">
        <v>-154.0</v>
      </c>
      <c r="G16" s="40" t="s">
        <v>325</v>
      </c>
    </row>
    <row r="17">
      <c r="A17" s="41">
        <v>1.0</v>
      </c>
      <c r="B17" s="112">
        <v>31.74</v>
      </c>
      <c r="C17" s="113">
        <v>2.31</v>
      </c>
      <c r="D17" s="113"/>
      <c r="E17" s="112">
        <v>29.43</v>
      </c>
      <c r="F17" s="114">
        <v>-124.57</v>
      </c>
      <c r="G17" s="45"/>
    </row>
    <row r="18">
      <c r="A18" s="36">
        <v>2.0</v>
      </c>
      <c r="B18" s="115">
        <v>31.58</v>
      </c>
      <c r="C18" s="116">
        <v>2.31</v>
      </c>
      <c r="D18" s="116"/>
      <c r="E18" s="115">
        <v>29.27</v>
      </c>
      <c r="F18" s="111">
        <v>-95.3</v>
      </c>
      <c r="G18" s="40"/>
    </row>
    <row r="19">
      <c r="A19" s="41">
        <v>3.0</v>
      </c>
      <c r="B19" s="112">
        <v>31.42</v>
      </c>
      <c r="C19" s="113">
        <v>2.31</v>
      </c>
      <c r="D19" s="113"/>
      <c r="E19" s="112">
        <v>29.11</v>
      </c>
      <c r="F19" s="114">
        <v>-66.18</v>
      </c>
      <c r="G19" s="45"/>
    </row>
    <row r="20">
      <c r="A20" s="36">
        <v>4.0</v>
      </c>
      <c r="B20" s="115">
        <v>31.27</v>
      </c>
      <c r="C20" s="116">
        <v>2.31</v>
      </c>
      <c r="D20" s="116"/>
      <c r="E20" s="115">
        <v>28.96</v>
      </c>
      <c r="F20" s="111">
        <v>-37.23</v>
      </c>
      <c r="G20" s="40"/>
    </row>
    <row r="21">
      <c r="A21" s="41">
        <v>5.0</v>
      </c>
      <c r="B21" s="112">
        <v>31.11</v>
      </c>
      <c r="C21" s="113">
        <v>2.31</v>
      </c>
      <c r="D21" s="113"/>
      <c r="E21" s="112">
        <v>28.8</v>
      </c>
      <c r="F21" s="114">
        <v>-8.43</v>
      </c>
      <c r="G21" s="45"/>
    </row>
    <row r="22">
      <c r="A22" s="36">
        <v>6.0</v>
      </c>
      <c r="B22" s="115">
        <v>30.95</v>
      </c>
      <c r="C22" s="116">
        <v>2.31</v>
      </c>
      <c r="D22" s="116"/>
      <c r="E22" s="115">
        <v>28.64</v>
      </c>
      <c r="F22" s="117">
        <v>20.22</v>
      </c>
      <c r="G22" s="40"/>
    </row>
    <row r="23">
      <c r="A23" s="41">
        <v>7.0</v>
      </c>
      <c r="B23" s="112">
        <v>30.8</v>
      </c>
      <c r="C23" s="113">
        <v>2.31</v>
      </c>
      <c r="D23" s="113"/>
      <c r="E23" s="112">
        <v>28.49</v>
      </c>
      <c r="F23" s="112">
        <v>48.71</v>
      </c>
      <c r="G23" s="45"/>
    </row>
    <row r="24">
      <c r="A24" s="36">
        <v>8.0</v>
      </c>
      <c r="B24" s="115">
        <v>30.65</v>
      </c>
      <c r="C24" s="116">
        <v>2.31</v>
      </c>
      <c r="D24" s="111">
        <v>15.4</v>
      </c>
      <c r="E24" s="115">
        <v>12.94</v>
      </c>
      <c r="F24" s="115">
        <v>61.64</v>
      </c>
      <c r="G24" s="58" t="s">
        <v>326</v>
      </c>
    </row>
    <row r="25">
      <c r="A25" s="41">
        <v>9.0</v>
      </c>
      <c r="B25" s="112">
        <v>30.49</v>
      </c>
      <c r="C25" s="113">
        <v>2.31</v>
      </c>
      <c r="D25" s="113"/>
      <c r="E25" s="112">
        <v>28.18</v>
      </c>
      <c r="F25" s="112">
        <v>89.83</v>
      </c>
      <c r="G25" s="45"/>
    </row>
    <row r="26">
      <c r="A26" s="36">
        <v>10.0</v>
      </c>
      <c r="B26" s="115">
        <v>30.34</v>
      </c>
      <c r="C26" s="116">
        <v>2.31</v>
      </c>
      <c r="D26" s="116"/>
      <c r="E26" s="115">
        <v>28.03</v>
      </c>
      <c r="F26" s="115">
        <v>117.86</v>
      </c>
      <c r="G26" s="40"/>
    </row>
    <row r="27">
      <c r="A27" s="41">
        <v>11.0</v>
      </c>
      <c r="B27" s="112">
        <v>30.19</v>
      </c>
      <c r="C27" s="113">
        <v>2.31</v>
      </c>
      <c r="D27" s="113"/>
      <c r="E27" s="112">
        <v>27.88</v>
      </c>
      <c r="F27" s="112">
        <v>145.74</v>
      </c>
      <c r="G27" s="45"/>
    </row>
    <row r="28">
      <c r="A28" s="36">
        <v>12.0</v>
      </c>
      <c r="B28" s="115">
        <v>30.04</v>
      </c>
      <c r="C28" s="116">
        <v>2.31</v>
      </c>
      <c r="D28" s="116"/>
      <c r="E28" s="115">
        <v>27.73</v>
      </c>
      <c r="F28" s="115">
        <v>173.46</v>
      </c>
      <c r="G28" s="40"/>
    </row>
    <row r="29">
      <c r="A29" s="41">
        <v>13.0</v>
      </c>
      <c r="B29" s="112">
        <v>29.89</v>
      </c>
      <c r="C29" s="113">
        <v>2.31</v>
      </c>
      <c r="D29" s="113"/>
      <c r="E29" s="112">
        <v>27.58</v>
      </c>
      <c r="F29" s="112">
        <v>201.04</v>
      </c>
      <c r="G29" s="45"/>
    </row>
    <row r="30">
      <c r="A30" s="36">
        <v>14.0</v>
      </c>
      <c r="B30" s="115">
        <v>29.74</v>
      </c>
      <c r="C30" s="116">
        <v>2.31</v>
      </c>
      <c r="D30" s="116"/>
      <c r="E30" s="115">
        <v>27.43</v>
      </c>
      <c r="F30" s="115">
        <v>228.47</v>
      </c>
      <c r="G30" s="40"/>
    </row>
    <row r="31">
      <c r="A31" s="41">
        <v>15.0</v>
      </c>
      <c r="B31" s="112">
        <v>29.59</v>
      </c>
      <c r="C31" s="113">
        <v>2.31</v>
      </c>
      <c r="D31" s="113"/>
      <c r="E31" s="112">
        <v>27.28</v>
      </c>
      <c r="F31" s="112">
        <v>255.75</v>
      </c>
      <c r="G31" s="45"/>
    </row>
    <row r="32">
      <c r="A32" s="36">
        <v>16.0</v>
      </c>
      <c r="B32" s="115">
        <v>29.44</v>
      </c>
      <c r="C32" s="116">
        <v>2.31</v>
      </c>
      <c r="D32" s="111">
        <v>15.4</v>
      </c>
      <c r="E32" s="115">
        <v>11.73</v>
      </c>
      <c r="F32" s="115">
        <v>267.48</v>
      </c>
      <c r="G32" s="58" t="s">
        <v>326</v>
      </c>
    </row>
    <row r="33">
      <c r="A33" s="41">
        <v>17.0</v>
      </c>
      <c r="B33" s="112">
        <v>29.29</v>
      </c>
      <c r="C33" s="113">
        <v>2.31</v>
      </c>
      <c r="D33" s="113"/>
      <c r="E33" s="112">
        <v>26.98</v>
      </c>
      <c r="F33" s="112">
        <v>294.47</v>
      </c>
      <c r="G33" s="45"/>
    </row>
    <row r="34">
      <c r="A34" s="36">
        <v>18.0</v>
      </c>
      <c r="B34" s="115">
        <v>29.15</v>
      </c>
      <c r="C34" s="116">
        <v>2.31</v>
      </c>
      <c r="D34" s="116"/>
      <c r="E34" s="115">
        <v>26.84</v>
      </c>
      <c r="F34" s="115">
        <v>321.3</v>
      </c>
      <c r="G34" s="40"/>
    </row>
    <row r="35">
      <c r="A35" s="41">
        <v>19.0</v>
      </c>
      <c r="B35" s="112">
        <v>29.0</v>
      </c>
      <c r="C35" s="113">
        <v>2.31</v>
      </c>
      <c r="D35" s="113"/>
      <c r="E35" s="112">
        <v>26.69</v>
      </c>
      <c r="F35" s="112">
        <v>348.0</v>
      </c>
      <c r="G35" s="45"/>
    </row>
    <row r="36">
      <c r="A36" s="36">
        <v>20.0</v>
      </c>
      <c r="B36" s="115">
        <v>28.86</v>
      </c>
      <c r="C36" s="116">
        <v>2.31</v>
      </c>
      <c r="D36" s="116"/>
      <c r="E36" s="115">
        <v>26.55</v>
      </c>
      <c r="F36" s="115">
        <v>374.54</v>
      </c>
      <c r="G36" s="40"/>
    </row>
    <row r="37"/>
    <row r="38">
      <c r="A38" s="118" t="s">
        <v>327</v>
      </c>
      <c r="B38" s="5"/>
      <c r="C38" s="5"/>
      <c r="D38" s="5"/>
      <c r="E38" s="5"/>
      <c r="F38" s="5"/>
      <c r="G38" s="6"/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4">
    <mergeCell ref="A1:G1"/>
    <mergeCell ref="A2:G2"/>
    <mergeCell ref="A14:G14"/>
    <mergeCell ref="A38:G38"/>
  </mergeCells>
  <printOptions/>
  <pageMargins bottom="1.0" footer="0.0" header="0.0" left="0.75" right="0.75" top="1.0"/>
  <pageSetup orientation="landscape"/>
  <drawing r:id="rId1"/>
</worksheet>
</file>